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86D406D5BA59D6/Documents/"/>
    </mc:Choice>
  </mc:AlternateContent>
  <xr:revisionPtr revIDLastSave="0" documentId="8_{3C3D21D2-5616-402D-8CAB-C1D270396620}" xr6:coauthVersionLast="47" xr6:coauthVersionMax="47" xr10:uidLastSave="{00000000-0000-0000-0000-000000000000}"/>
  <bookViews>
    <workbookView xWindow="-108" yWindow="-108" windowWidth="23256" windowHeight="12456" firstSheet="5" activeTab="1" xr2:uid="{3E6414CC-1115-4C8B-BD97-D491832C3A4B}"/>
  </bookViews>
  <sheets>
    <sheet name="Project Introduction" sheetId="27" r:id="rId1"/>
    <sheet name="01_Data_Model" sheetId="19" r:id="rId2"/>
    <sheet name="02_Processed_Data" sheetId="24" r:id="rId3"/>
    <sheet name="03_Analysis_Pivots" sheetId="20" r:id="rId4"/>
    <sheet name="04_KPI_Engine" sheetId="23" r:id="rId5"/>
    <sheet name="05_Dashboard" sheetId="21" r:id="rId6"/>
    <sheet name="Project Summary" sheetId="29" r:id="rId7"/>
  </sheets>
  <definedNames>
    <definedName name="_xlcn.WorksheetConnection_Book1.xlsxAds_Data" hidden="1">Ads_Data</definedName>
    <definedName name="_xlcn.WorksheetConnection_Book1.xlsxGoogle_Ads" hidden="1">Google_Ads</definedName>
    <definedName name="_xlcn.WorksheetConnection_Book1.xlsxInstagram" hidden="1">Instagram</definedName>
    <definedName name="_xlcn.WorksheetConnection_Book1.xlsxInstagram_Data" hidden="1">Instagram_Data</definedName>
    <definedName name="_xlcn.WorksheetConnection_Book1.xlsxReferrals" hidden="1">Referrals</definedName>
    <definedName name="_xlcn.WorksheetConnection_Book1.xlsxTable10" hidden="1">Table10</definedName>
    <definedName name="_xlcn.WorksheetConnection_Book1Finance" hidden="1">Finance</definedName>
    <definedName name="_xlcn.WorksheetConnection_Book1Metrics" hidden="1">Metrics[]</definedName>
  </definedNames>
  <calcPr calcId="191028"/>
  <pivotCaches>
    <pivotCache cacheId="180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etrics" name="Metrics" connection="WorksheetConnection_Book1!Metrics"/>
          <x15:modelTable id="Finance" name="Finance" connection="WorksheetConnection_Book1!Finance"/>
          <x15:modelTable id="Instagram" name="Instagram" connection="WorksheetConnection_Book1.xlsx!Instagram"/>
          <x15:modelTable id="Instagram_Data" name="Instagram_Data" connection="WorksheetConnection_Book1.xlsx!Instagram_Data"/>
          <x15:modelTable id="Google_Ads" name="Google_Ads" connection="WorksheetConnection_Book1.xlsx!Google_Ads"/>
          <x15:modelTable id="Ads_Data" name="Ads_Data" connection="WorksheetConnection_Book1.xlsx!Ads_Data"/>
          <x15:modelTable id="Referrals" name="Referrals" connection="WorksheetConnection_Book1.xlsx!Referrals"/>
          <x15:modelTable id="Table10" name="Table10" connection="WorksheetConnection_Book1.xlsx!Table10"/>
        </x15:modelTables>
        <x15:modelRelationships>
          <x15:modelRelationship fromTable="Instagram" fromColumn="Month" toTable="Instagram_Data" toColumn="Month"/>
          <x15:modelRelationship fromTable="Google_Ads" fromColumn="Month" toTable="Ads_Data" toColumn="Month"/>
          <x15:modelRelationship fromTable="Referrals" fromColumn="Month" toTable="Table10" toColumn="Month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8" i="21" l="1"/>
  <c r="F12" i="24"/>
  <c r="F11" i="24"/>
  <c r="L10" i="24"/>
  <c r="L9" i="24"/>
  <c r="L8" i="24"/>
  <c r="M10" i="19"/>
  <c r="H5" i="24"/>
  <c r="N5" i="19"/>
  <c r="N6" i="19"/>
  <c r="O6" i="19" s="1"/>
  <c r="N7" i="19"/>
  <c r="O7" i="19" s="1"/>
  <c r="N8" i="19"/>
  <c r="O8" i="19" s="1"/>
  <c r="N9" i="19"/>
  <c r="O9" i="19" s="1"/>
  <c r="N10" i="19"/>
  <c r="O10" i="19" s="1"/>
  <c r="N11" i="19"/>
  <c r="O11" i="19" s="1"/>
  <c r="N12" i="19"/>
  <c r="O12" i="19" s="1"/>
  <c r="N13" i="19"/>
  <c r="O13" i="19" s="1"/>
  <c r="N14" i="19"/>
  <c r="O14" i="19" s="1"/>
  <c r="N15" i="19"/>
  <c r="O15" i="19" s="1"/>
  <c r="N16" i="19"/>
  <c r="O16" i="19" s="1"/>
  <c r="N17" i="19"/>
  <c r="O17" i="19" s="1"/>
  <c r="N18" i="19"/>
  <c r="O18" i="19" s="1"/>
  <c r="N19" i="19"/>
  <c r="O19" i="19" s="1"/>
  <c r="N20" i="19"/>
  <c r="O20" i="19" s="1"/>
  <c r="N21" i="19"/>
  <c r="O21" i="19" s="1"/>
  <c r="N22" i="19"/>
  <c r="O22" i="19" s="1"/>
  <c r="N23" i="19"/>
  <c r="O23" i="19" s="1"/>
  <c r="N24" i="19"/>
  <c r="O24" i="19" s="1"/>
  <c r="N25" i="19"/>
  <c r="O25" i="19" s="1"/>
  <c r="N26" i="19"/>
  <c r="O26" i="19" s="1"/>
  <c r="N27" i="19"/>
  <c r="O27" i="19" s="1"/>
  <c r="N28" i="19"/>
  <c r="O28" i="19" s="1"/>
  <c r="N29" i="19"/>
  <c r="O29" i="19" s="1"/>
  <c r="N30" i="19"/>
  <c r="O30" i="19" s="1"/>
  <c r="N31" i="19"/>
  <c r="O31" i="19" s="1"/>
  <c r="N32" i="19"/>
  <c r="O32" i="19" s="1"/>
  <c r="N33" i="19"/>
  <c r="O33" i="19" s="1"/>
  <c r="N34" i="19"/>
  <c r="O34" i="19" s="1"/>
  <c r="N35" i="19"/>
  <c r="O35" i="19" s="1"/>
  <c r="N36" i="19"/>
  <c r="O36" i="19" s="1"/>
  <c r="N37" i="19"/>
  <c r="O37" i="19" s="1"/>
  <c r="N38" i="19"/>
  <c r="O38" i="19" s="1"/>
  <c r="N39" i="19"/>
  <c r="O39" i="19" s="1"/>
  <c r="N40" i="19"/>
  <c r="O40" i="19" s="1"/>
  <c r="G16" i="24"/>
  <c r="G15" i="24"/>
  <c r="G14" i="24"/>
  <c r="G13" i="24"/>
  <c r="G12" i="24"/>
  <c r="G11" i="24"/>
  <c r="G10" i="24"/>
  <c r="G9" i="24"/>
  <c r="G8" i="24"/>
  <c r="G7" i="24"/>
  <c r="G6" i="24"/>
  <c r="G5" i="24"/>
  <c r="F16" i="24"/>
  <c r="F15" i="24"/>
  <c r="F14" i="24"/>
  <c r="F13" i="24"/>
  <c r="I13" i="24" s="1"/>
  <c r="F10" i="24"/>
  <c r="F9" i="24"/>
  <c r="I9" i="24" s="1"/>
  <c r="F8" i="24"/>
  <c r="F7" i="24"/>
  <c r="F6" i="24"/>
  <c r="F5" i="24"/>
  <c r="E16" i="24"/>
  <c r="E15" i="24"/>
  <c r="E14" i="24"/>
  <c r="E13" i="24"/>
  <c r="E12" i="24"/>
  <c r="E11" i="24"/>
  <c r="E10" i="24"/>
  <c r="E9" i="24"/>
  <c r="E8" i="24"/>
  <c r="E7" i="24"/>
  <c r="E6" i="24"/>
  <c r="E5" i="24"/>
  <c r="D16" i="24"/>
  <c r="D15" i="24"/>
  <c r="H15" i="24" s="1"/>
  <c r="D14" i="24"/>
  <c r="D13" i="24"/>
  <c r="D12" i="24"/>
  <c r="D11" i="24"/>
  <c r="D10" i="24"/>
  <c r="D9" i="24"/>
  <c r="D8" i="24"/>
  <c r="D7" i="24"/>
  <c r="D6" i="24"/>
  <c r="D5" i="24"/>
  <c r="L11" i="19"/>
  <c r="M11" i="19" s="1"/>
  <c r="L27" i="19"/>
  <c r="M27" i="19" s="1"/>
  <c r="K39" i="19"/>
  <c r="L39" i="19" s="1"/>
  <c r="M39" i="19" s="1"/>
  <c r="K40" i="19"/>
  <c r="L40" i="19" s="1"/>
  <c r="M40" i="19" s="1"/>
  <c r="K6" i="19"/>
  <c r="L6" i="19" s="1"/>
  <c r="M6" i="19" s="1"/>
  <c r="K7" i="19"/>
  <c r="L7" i="19" s="1"/>
  <c r="M7" i="19" s="1"/>
  <c r="K8" i="19"/>
  <c r="L8" i="19" s="1"/>
  <c r="M8" i="19" s="1"/>
  <c r="K9" i="19"/>
  <c r="L9" i="19" s="1"/>
  <c r="M9" i="19" s="1"/>
  <c r="K10" i="19"/>
  <c r="L10" i="19" s="1"/>
  <c r="K11" i="19"/>
  <c r="K12" i="19"/>
  <c r="L12" i="19" s="1"/>
  <c r="M12" i="19" s="1"/>
  <c r="K13" i="19"/>
  <c r="L13" i="19" s="1"/>
  <c r="M13" i="19" s="1"/>
  <c r="K14" i="19"/>
  <c r="L14" i="19" s="1"/>
  <c r="M14" i="19" s="1"/>
  <c r="K15" i="19"/>
  <c r="L15" i="19" s="1"/>
  <c r="M15" i="19" s="1"/>
  <c r="K16" i="19"/>
  <c r="L16" i="19" s="1"/>
  <c r="M16" i="19" s="1"/>
  <c r="K17" i="19"/>
  <c r="L17" i="19" s="1"/>
  <c r="M17" i="19" s="1"/>
  <c r="K18" i="19"/>
  <c r="L18" i="19" s="1"/>
  <c r="M18" i="19" s="1"/>
  <c r="K19" i="19"/>
  <c r="L19" i="19" s="1"/>
  <c r="M19" i="19" s="1"/>
  <c r="K20" i="19"/>
  <c r="L20" i="19" s="1"/>
  <c r="M20" i="19" s="1"/>
  <c r="K21" i="19"/>
  <c r="L21" i="19" s="1"/>
  <c r="M21" i="19" s="1"/>
  <c r="K22" i="19"/>
  <c r="L22" i="19" s="1"/>
  <c r="M22" i="19" s="1"/>
  <c r="K23" i="19"/>
  <c r="L23" i="19" s="1"/>
  <c r="M23" i="19" s="1"/>
  <c r="K24" i="19"/>
  <c r="L24" i="19" s="1"/>
  <c r="M24" i="19" s="1"/>
  <c r="K25" i="19"/>
  <c r="L25" i="19" s="1"/>
  <c r="M25" i="19" s="1"/>
  <c r="K26" i="19"/>
  <c r="L26" i="19" s="1"/>
  <c r="M26" i="19" s="1"/>
  <c r="K27" i="19"/>
  <c r="K28" i="19"/>
  <c r="L28" i="19" s="1"/>
  <c r="M28" i="19" s="1"/>
  <c r="K29" i="19"/>
  <c r="L29" i="19" s="1"/>
  <c r="M29" i="19" s="1"/>
  <c r="K30" i="19"/>
  <c r="L30" i="19" s="1"/>
  <c r="M30" i="19" s="1"/>
  <c r="K31" i="19"/>
  <c r="L31" i="19" s="1"/>
  <c r="M31" i="19" s="1"/>
  <c r="K32" i="19"/>
  <c r="L32" i="19" s="1"/>
  <c r="M32" i="19" s="1"/>
  <c r="K33" i="19"/>
  <c r="L33" i="19" s="1"/>
  <c r="M33" i="19" s="1"/>
  <c r="K34" i="19"/>
  <c r="L34" i="19" s="1"/>
  <c r="M34" i="19" s="1"/>
  <c r="K35" i="19"/>
  <c r="L35" i="19" s="1"/>
  <c r="M35" i="19" s="1"/>
  <c r="K36" i="19"/>
  <c r="L36" i="19" s="1"/>
  <c r="M36" i="19" s="1"/>
  <c r="K37" i="19"/>
  <c r="L37" i="19" s="1"/>
  <c r="M37" i="19" s="1"/>
  <c r="K38" i="19"/>
  <c r="L38" i="19" s="1"/>
  <c r="M38" i="19" s="1"/>
  <c r="K5" i="19"/>
  <c r="L5" i="19" s="1"/>
  <c r="M5" i="19" s="1"/>
  <c r="J6" i="19"/>
  <c r="J7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J39" i="19"/>
  <c r="J40" i="19"/>
  <c r="J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5" i="19"/>
  <c r="D5" i="23"/>
  <c r="L28" i="20"/>
  <c r="E8" i="23"/>
  <c r="E6" i="23"/>
  <c r="D8" i="23"/>
  <c r="D6" i="23"/>
  <c r="E7" i="23"/>
  <c r="E5" i="23"/>
  <c r="D7" i="23"/>
  <c r="O5" i="19" l="1"/>
  <c r="F5" i="23"/>
  <c r="AE18" i="21"/>
  <c r="AM18" i="21"/>
  <c r="AI18" i="21"/>
  <c r="E24" i="29"/>
  <c r="H7" i="24"/>
  <c r="H9" i="24"/>
  <c r="AF20" i="21"/>
  <c r="F7" i="23"/>
  <c r="AN20" i="21" s="1"/>
  <c r="F6" i="23"/>
  <c r="AJ20" i="21" s="1"/>
  <c r="F8" i="23"/>
  <c r="AR20" i="21" s="1"/>
  <c r="J5" i="24"/>
  <c r="K5" i="24" s="1"/>
  <c r="J9" i="24"/>
  <c r="K9" i="24" s="1"/>
  <c r="J13" i="24"/>
  <c r="K13" i="24" s="1"/>
  <c r="L13" i="24" s="1"/>
  <c r="H13" i="24"/>
  <c r="H11" i="24"/>
  <c r="J8" i="24"/>
  <c r="K8" i="24" s="1"/>
  <c r="J12" i="24"/>
  <c r="K12" i="24" s="1"/>
  <c r="L12" i="24" s="1"/>
  <c r="J16" i="24"/>
  <c r="K16" i="24" s="1"/>
  <c r="L16" i="24" s="1"/>
  <c r="H8" i="24"/>
  <c r="H12" i="24"/>
  <c r="H16" i="24"/>
  <c r="J6" i="24"/>
  <c r="K6" i="24" s="1"/>
  <c r="L6" i="24" s="1"/>
  <c r="J10" i="24"/>
  <c r="K10" i="24" s="1"/>
  <c r="J14" i="24"/>
  <c r="K14" i="24" s="1"/>
  <c r="H6" i="24"/>
  <c r="H10" i="24"/>
  <c r="H14" i="24"/>
  <c r="J7" i="24"/>
  <c r="K7" i="24" s="1"/>
  <c r="J11" i="24"/>
  <c r="K11" i="24" s="1"/>
  <c r="L11" i="24" s="1"/>
  <c r="J15" i="24"/>
  <c r="K15" i="24" s="1"/>
  <c r="L15" i="24" s="1"/>
  <c r="L14" i="24"/>
  <c r="I14" i="24"/>
  <c r="I10" i="24"/>
  <c r="I6" i="24"/>
  <c r="L7" i="24"/>
  <c r="I16" i="24"/>
  <c r="I12" i="24"/>
  <c r="I8" i="24"/>
  <c r="L5" i="24"/>
  <c r="I15" i="24"/>
  <c r="I11" i="24"/>
  <c r="I7" i="24"/>
  <c r="I5" i="24"/>
  <c r="D15" i="29" l="1"/>
  <c r="D21" i="29"/>
  <c r="D18" i="2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AE822C-CD42-4621-88DF-37F3E4D645F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97911FB-93A0-45C3-9E8A-EF1DEC562FE1}" name="WorksheetConnection_Book1!Finance" type="102" refreshedVersion="8" minRefreshableVersion="5">
    <extLst>
      <ext xmlns:x15="http://schemas.microsoft.com/office/spreadsheetml/2010/11/main" uri="{DE250136-89BD-433C-8126-D09CA5730AF9}">
        <x15:connection id="Finance">
          <x15:rangePr sourceName="_xlcn.WorksheetConnection_Book1Finance"/>
        </x15:connection>
      </ext>
    </extLst>
  </connection>
  <connection id="3" xr16:uid="{AA848282-5392-441E-A150-184AC9AF28AD}" name="WorksheetConnection_Book1!Metrics" type="102" refreshedVersion="8" minRefreshableVersion="5">
    <extLst>
      <ext xmlns:x15="http://schemas.microsoft.com/office/spreadsheetml/2010/11/main" uri="{DE250136-89BD-433C-8126-D09CA5730AF9}">
        <x15:connection id="Metrics" autoDelete="1">
          <x15:rangePr sourceName="_xlcn.WorksheetConnection_Book1Metrics"/>
        </x15:connection>
      </ext>
    </extLst>
  </connection>
  <connection id="4" xr16:uid="{50446ABE-BAB4-4120-8D13-E045A49ED4FB}" name="WorksheetConnection_Book1.xlsx!Ads_Data" type="102" refreshedVersion="8" minRefreshableVersion="5">
    <extLst>
      <ext xmlns:x15="http://schemas.microsoft.com/office/spreadsheetml/2010/11/main" uri="{DE250136-89BD-433C-8126-D09CA5730AF9}">
        <x15:connection id="Ads_Data">
          <x15:rangePr sourceName="_xlcn.WorksheetConnection_Book1.xlsxAds_Data"/>
        </x15:connection>
      </ext>
    </extLst>
  </connection>
  <connection id="5" xr16:uid="{304BDBD4-0798-425F-96F0-5109493C87E4}" name="WorksheetConnection_Book1.xlsx!Google_Ads" type="102" refreshedVersion="8" minRefreshableVersion="5">
    <extLst>
      <ext xmlns:x15="http://schemas.microsoft.com/office/spreadsheetml/2010/11/main" uri="{DE250136-89BD-433C-8126-D09CA5730AF9}">
        <x15:connection id="Google_Ads">
          <x15:rangePr sourceName="_xlcn.WorksheetConnection_Book1.xlsxGoogle_Ads"/>
        </x15:connection>
      </ext>
    </extLst>
  </connection>
  <connection id="6" xr16:uid="{78392181-DC6E-4996-B354-FA475A73A0CC}" name="WorksheetConnection_Book1.xlsx!Instagram" type="102" refreshedVersion="8" minRefreshableVersion="5">
    <extLst>
      <ext xmlns:x15="http://schemas.microsoft.com/office/spreadsheetml/2010/11/main" uri="{DE250136-89BD-433C-8126-D09CA5730AF9}">
        <x15:connection id="Instagram">
          <x15:rangePr sourceName="_xlcn.WorksheetConnection_Book1.xlsxInstagram"/>
        </x15:connection>
      </ext>
    </extLst>
  </connection>
  <connection id="7" xr16:uid="{DFE13DF4-D165-4329-B6B4-91C46EE21F63}" name="WorksheetConnection_Book1.xlsx!Instagram_Data" type="102" refreshedVersion="8" minRefreshableVersion="5">
    <extLst>
      <ext xmlns:x15="http://schemas.microsoft.com/office/spreadsheetml/2010/11/main" uri="{DE250136-89BD-433C-8126-D09CA5730AF9}">
        <x15:connection id="Instagram_Data">
          <x15:rangePr sourceName="_xlcn.WorksheetConnection_Book1.xlsxInstagram_Data"/>
        </x15:connection>
      </ext>
    </extLst>
  </connection>
  <connection id="8" xr16:uid="{8820D2E3-C5FA-49C7-8603-342057E2565D}" name="WorksheetConnection_Book1.xlsx!Referrals" type="102" refreshedVersion="8" minRefreshableVersion="5">
    <extLst>
      <ext xmlns:x15="http://schemas.microsoft.com/office/spreadsheetml/2010/11/main" uri="{DE250136-89BD-433C-8126-D09CA5730AF9}">
        <x15:connection id="Referrals">
          <x15:rangePr sourceName="_xlcn.WorksheetConnection_Book1.xlsxReferrals"/>
        </x15:connection>
      </ext>
    </extLst>
  </connection>
  <connection id="9" xr16:uid="{A6904929-F1B9-4DE0-A0E6-9BD786B7335E}" name="WorksheetConnection_Book1.xlsx!Table10" type="102" refreshedVersion="8" minRefreshableVersion="5">
    <extLst>
      <ext xmlns:x15="http://schemas.microsoft.com/office/spreadsheetml/2010/11/main" uri="{DE250136-89BD-433C-8126-D09CA5730AF9}">
        <x15:connection id="Table10">
          <x15:rangePr sourceName="_xlcn.WorksheetConnection_Book1.xlsxTable10"/>
        </x15:connection>
      </ext>
    </extLst>
  </connection>
</connections>
</file>

<file path=xl/sharedStrings.xml><?xml version="1.0" encoding="utf-8"?>
<sst xmlns="http://schemas.openxmlformats.org/spreadsheetml/2006/main" count="209" uniqueCount="82">
  <si>
    <t>Introduction:</t>
  </si>
  <si>
    <r>
      <t xml:space="preserve">This analysis focuses on </t>
    </r>
    <r>
      <rPr>
        <b/>
        <sz val="12"/>
        <color theme="5" tint="-0.499984740745262"/>
        <rFont val="Calibri"/>
        <family val="2"/>
        <scheme val="minor"/>
      </rPr>
      <t>GrowX Labs</t>
    </r>
    <r>
      <rPr>
        <sz val="12"/>
        <color theme="5" tint="-0.499984740745262"/>
        <rFont val="Calibri"/>
        <family val="2"/>
        <scheme val="minor"/>
      </rPr>
      <t>, a SaaS startup offering business automation tools for small startups and SMEs. The platform helps businesses manage leads, automate email marketing, and track sales performance through a monthly subscription model. Currently in its first growth year, GrowX Labs aims to improve marketing efficiency, increase user retention, and scale its recurring revenue sustainably.</t>
    </r>
  </si>
  <si>
    <t>Project Objectives:</t>
  </si>
  <si>
    <r>
      <t xml:space="preserve">1. Analyze user and </t>
    </r>
    <r>
      <rPr>
        <b/>
        <sz val="12"/>
        <color theme="5" tint="-0.499984740745262"/>
        <rFont val="Calibri"/>
        <family val="2"/>
        <scheme val="minor"/>
      </rPr>
      <t>revenue growth</t>
    </r>
    <r>
      <rPr>
        <sz val="12"/>
        <color theme="5" tint="-0.499984740745262"/>
        <rFont val="Calibri"/>
        <family val="2"/>
        <scheme val="minor"/>
      </rPr>
      <t xml:space="preserve"> over a 12-month period.
2. Compare the performance and </t>
    </r>
    <r>
      <rPr>
        <b/>
        <sz val="12"/>
        <color theme="5" tint="-0.499984740745262"/>
        <rFont val="Calibri"/>
        <family val="2"/>
        <scheme val="minor"/>
      </rPr>
      <t>ROI of acquisition channels</t>
    </r>
    <r>
      <rPr>
        <sz val="12"/>
        <color theme="5" tint="-0.499984740745262"/>
        <rFont val="Calibri"/>
        <family val="2"/>
        <scheme val="minor"/>
      </rPr>
      <t xml:space="preserve"> — </t>
    </r>
    <r>
      <rPr>
        <b/>
        <sz val="12"/>
        <color theme="5" tint="-0.499984740745262"/>
        <rFont val="Calibri"/>
        <family val="2"/>
        <scheme val="minor"/>
      </rPr>
      <t>Google Ads, Instagram, and Referrals</t>
    </r>
    <r>
      <rPr>
        <sz val="12"/>
        <color theme="5" tint="-0.499984740745262"/>
        <rFont val="Calibri"/>
        <family val="2"/>
        <scheme val="minor"/>
      </rPr>
      <t xml:space="preserve">.
3. Measure key metrics including </t>
    </r>
    <r>
      <rPr>
        <b/>
        <sz val="12"/>
        <color theme="5" tint="-0.499984740745262"/>
        <rFont val="Calibri"/>
        <family val="2"/>
        <scheme val="minor"/>
      </rPr>
      <t>Customer Acquisition Cost (CAC)</t>
    </r>
    <r>
      <rPr>
        <sz val="12"/>
        <color theme="5" tint="-0.499984740745262"/>
        <rFont val="Calibri"/>
        <family val="2"/>
        <scheme val="minor"/>
      </rPr>
      <t xml:space="preserve">, </t>
    </r>
    <r>
      <rPr>
        <b/>
        <sz val="12"/>
        <color theme="5" tint="-0.499984740745262"/>
        <rFont val="Calibri"/>
        <family val="2"/>
        <scheme val="minor"/>
      </rPr>
      <t>Lifetime Value (LTV)</t>
    </r>
    <r>
      <rPr>
        <sz val="12"/>
        <color theme="5" tint="-0.499984740745262"/>
        <rFont val="Calibri"/>
        <family val="2"/>
        <scheme val="minor"/>
      </rPr>
      <t xml:space="preserve">, and </t>
    </r>
    <r>
      <rPr>
        <b/>
        <sz val="12"/>
        <color theme="5" tint="-0.499984740745262"/>
        <rFont val="Calibri"/>
        <family val="2"/>
        <scheme val="minor"/>
      </rPr>
      <t>Churn Rate</t>
    </r>
    <r>
      <rPr>
        <sz val="12"/>
        <color theme="5" tint="-0.499984740745262"/>
        <rFont val="Calibri"/>
        <family val="2"/>
        <scheme val="minor"/>
      </rPr>
      <t xml:space="preserve">.
4. Identify trends in </t>
    </r>
    <r>
      <rPr>
        <b/>
        <sz val="12"/>
        <color theme="5" tint="-0.499984740745262"/>
        <rFont val="Calibri"/>
        <family val="2"/>
        <scheme val="minor"/>
      </rPr>
      <t xml:space="preserve">MRR growth </t>
    </r>
    <r>
      <rPr>
        <sz val="12"/>
        <color theme="5" tint="-0.499984740745262"/>
        <rFont val="Calibri"/>
        <family val="2"/>
        <scheme val="minor"/>
      </rPr>
      <t>and</t>
    </r>
    <r>
      <rPr>
        <b/>
        <sz val="12"/>
        <color theme="5" tint="-0.499984740745262"/>
        <rFont val="Calibri"/>
        <family val="2"/>
        <scheme val="minor"/>
      </rPr>
      <t xml:space="preserve"> customer retention</t>
    </r>
    <r>
      <rPr>
        <sz val="12"/>
        <color theme="5" tint="-0.499984740745262"/>
        <rFont val="Calibri"/>
        <family val="2"/>
        <scheme val="minor"/>
      </rPr>
      <t xml:space="preserve">.
5. Provide data-driven recommendations to optimize </t>
    </r>
    <r>
      <rPr>
        <b/>
        <sz val="12"/>
        <color theme="5" tint="-0.499984740745262"/>
        <rFont val="Calibri"/>
        <family val="2"/>
        <scheme val="minor"/>
      </rPr>
      <t>marketing spend</t>
    </r>
    <r>
      <rPr>
        <sz val="12"/>
        <color theme="5" tint="-0.499984740745262"/>
        <rFont val="Calibri"/>
        <family val="2"/>
        <scheme val="minor"/>
      </rPr>
      <t xml:space="preserve"> and </t>
    </r>
    <r>
      <rPr>
        <b/>
        <sz val="12"/>
        <color theme="5" tint="-0.499984740745262"/>
        <rFont val="Calibri"/>
        <family val="2"/>
        <scheme val="minor"/>
      </rPr>
      <t>accelerate growth</t>
    </r>
    <r>
      <rPr>
        <sz val="12"/>
        <color theme="5" tint="-0.499984740745262"/>
        <rFont val="Calibri"/>
        <family val="2"/>
        <scheme val="minor"/>
      </rPr>
      <t>.</t>
    </r>
  </si>
  <si>
    <t>Month</t>
  </si>
  <si>
    <t>Channel</t>
  </si>
  <si>
    <t>New Users</t>
  </si>
  <si>
    <t>Active Users</t>
  </si>
  <si>
    <t>Revenue</t>
  </si>
  <si>
    <t>Marketing Spend</t>
  </si>
  <si>
    <t>CAC</t>
  </si>
  <si>
    <t>ROI</t>
  </si>
  <si>
    <t>Retention Rate</t>
  </si>
  <si>
    <t>Churn Rate</t>
  </si>
  <si>
    <t>LTV</t>
  </si>
  <si>
    <t>ARPU</t>
  </si>
  <si>
    <t>MRR</t>
  </si>
  <si>
    <t>Jan</t>
  </si>
  <si>
    <t>Google Ads</t>
  </si>
  <si>
    <t>Instagram</t>
  </si>
  <si>
    <t>Referrals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</si>
  <si>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</si>
  <si>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</si>
  <si>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</si>
  <si>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</si>
  <si>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</si>
  <si>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</si>
  <si>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</si>
  <si>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</si>
  <si>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</si>
  <si>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</si>
  <si>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</si>
  <si>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(All)</t>
  </si>
  <si>
    <t>Sum of Active Users</t>
  </si>
  <si>
    <t>Sum of New Users</t>
  </si>
  <si>
    <t>Sum of Revenue</t>
  </si>
  <si>
    <t>Sum of Churn Rate</t>
  </si>
  <si>
    <t>Grand Total</t>
  </si>
  <si>
    <t>Sum of Marketing Spend</t>
  </si>
  <si>
    <t>Sum of ROI</t>
  </si>
  <si>
    <t>Row Labels</t>
  </si>
  <si>
    <t>Sum of CAC</t>
  </si>
  <si>
    <t>Sum of LTV</t>
  </si>
  <si>
    <t>Sum of MRR</t>
  </si>
  <si>
    <t>Metric</t>
  </si>
  <si>
    <t>Current</t>
  </si>
  <si>
    <t>Previous</t>
  </si>
  <si>
    <t>% Change</t>
  </si>
  <si>
    <t>Marketing &amp; Growth Performance Dashboard</t>
  </si>
  <si>
    <t>(Jan–Dec 2024)</t>
  </si>
  <si>
    <t>KPI Cards</t>
  </si>
  <si>
    <t>CAC :</t>
  </si>
  <si>
    <t>LTV :</t>
  </si>
  <si>
    <t>MRR :</t>
  </si>
  <si>
    <t>Churn Rate :</t>
  </si>
  <si>
    <t>Charts</t>
  </si>
  <si>
    <t>Insights</t>
  </si>
  <si>
    <t>1. User Growth Trend</t>
  </si>
  <si>
    <r>
      <rPr>
        <sz val="12"/>
        <color rgb="FF833C0C"/>
        <rFont val="Calibri"/>
        <scheme val="minor"/>
      </rPr>
      <t xml:space="preserve">Active users show a consistent </t>
    </r>
    <r>
      <rPr>
        <b/>
        <sz val="12"/>
        <color rgb="FF833C0C"/>
        <rFont val="Calibri"/>
        <scheme val="minor"/>
      </rPr>
      <t>upward</t>
    </r>
    <r>
      <rPr>
        <sz val="12"/>
        <color rgb="FF833C0C"/>
        <rFont val="Calibri"/>
        <scheme val="minor"/>
      </rPr>
      <t xml:space="preserve"> </t>
    </r>
    <r>
      <rPr>
        <b/>
        <sz val="12"/>
        <color rgb="FF833C0C"/>
        <rFont val="Calibri"/>
        <scheme val="minor"/>
      </rPr>
      <t>trend</t>
    </r>
    <r>
      <rPr>
        <sz val="12"/>
        <color rgb="FF833C0C"/>
        <rFont val="Calibri"/>
        <scheme val="minor"/>
      </rPr>
      <t xml:space="preserve">, peaking in </t>
    </r>
    <r>
      <rPr>
        <b/>
        <sz val="12"/>
        <color rgb="FF833C0C"/>
        <rFont val="Calibri"/>
        <scheme val="minor"/>
      </rPr>
      <t>December</t>
    </r>
    <r>
      <rPr>
        <sz val="12"/>
        <color rgb="FF833C0C"/>
        <rFont val="Calibri"/>
        <scheme val="minor"/>
      </rPr>
      <t xml:space="preserve">, with new users increasing by </t>
    </r>
    <r>
      <rPr>
        <b/>
        <sz val="12"/>
        <color rgb="FF833C0C"/>
        <rFont val="Calibri"/>
        <scheme val="minor"/>
      </rPr>
      <t xml:space="preserve">118.3% </t>
    </r>
    <r>
      <rPr>
        <sz val="12"/>
        <color rgb="FF833C0C"/>
        <rFont val="Calibri"/>
        <scheme val="minor"/>
      </rPr>
      <t>over the year.
This indicates strong acquisition momentum, likely driven by high-performing campaigns or seasonal demand.</t>
    </r>
  </si>
  <si>
    <t>2. Channel Performance</t>
  </si>
  <si>
    <r>
      <rPr>
        <sz val="12"/>
        <color rgb="FF833C0C"/>
        <rFont val="Calibri"/>
        <scheme val="minor"/>
      </rPr>
      <t xml:space="preserve">A clear efficiency gap exists across channels. </t>
    </r>
    <r>
      <rPr>
        <b/>
        <sz val="12"/>
        <color rgb="FF833C0C"/>
        <rFont val="Calibri"/>
        <scheme val="minor"/>
      </rPr>
      <t>Referrals</t>
    </r>
    <r>
      <rPr>
        <sz val="12"/>
        <color rgb="FF833C0C"/>
        <rFont val="Calibri"/>
        <scheme val="minor"/>
      </rPr>
      <t xml:space="preserve"> deliver the </t>
    </r>
    <r>
      <rPr>
        <b/>
        <sz val="12"/>
        <color rgb="FF833C0C"/>
        <rFont val="Calibri"/>
        <scheme val="minor"/>
      </rPr>
      <t>highest ROI</t>
    </r>
    <r>
      <rPr>
        <sz val="12"/>
        <color rgb="FF833C0C"/>
        <rFont val="Calibri"/>
        <scheme val="minor"/>
      </rPr>
      <t xml:space="preserve">, while </t>
    </r>
    <r>
      <rPr>
        <b/>
        <sz val="12"/>
        <color rgb="FF833C0C"/>
        <rFont val="Calibri"/>
        <scheme val="minor"/>
      </rPr>
      <t>Google Ads underperform despite high spend</t>
    </r>
    <r>
      <rPr>
        <sz val="12"/>
        <color rgb="FF833C0C"/>
        <rFont val="Calibri"/>
        <scheme val="minor"/>
      </rPr>
      <t xml:space="preserve">.
This suggests inefficient budget allocation, where </t>
    </r>
    <r>
      <rPr>
        <b/>
        <sz val="12"/>
        <color rgb="FF833C0C"/>
        <rFont val="Calibri"/>
        <scheme val="minor"/>
      </rPr>
      <t xml:space="preserve">resources can be shifted toward high-performing channels </t>
    </r>
    <r>
      <rPr>
        <sz val="12"/>
        <color rgb="FF833C0C"/>
        <rFont val="Calibri"/>
        <scheme val="minor"/>
      </rPr>
      <t xml:space="preserve">and </t>
    </r>
    <r>
      <rPr>
        <b/>
        <sz val="12"/>
        <color rgb="FF833C0C"/>
        <rFont val="Calibri"/>
        <scheme val="minor"/>
      </rPr>
      <t>underperforming campaigns need optimization</t>
    </r>
    <r>
      <rPr>
        <sz val="12"/>
        <color rgb="FF833C0C"/>
        <rFont val="Calibri"/>
        <scheme val="minor"/>
      </rPr>
      <t>.</t>
    </r>
  </si>
  <si>
    <t>3. Revenue Trend</t>
  </si>
  <si>
    <r>
      <rPr>
        <b/>
        <sz val="12"/>
        <color rgb="FF833C0C"/>
        <rFont val="Calibri"/>
        <scheme val="minor"/>
      </rPr>
      <t>Revenue increased by 124.4%</t>
    </r>
    <r>
      <rPr>
        <sz val="12"/>
        <color rgb="FF833C0C"/>
        <rFont val="Calibri"/>
        <scheme val="minor"/>
      </rPr>
      <t xml:space="preserve">, closely tracking user growth. </t>
    </r>
    <r>
      <rPr>
        <b/>
        <sz val="12"/>
        <color rgb="FF833C0C"/>
        <rFont val="Calibri"/>
        <scheme val="minor"/>
      </rPr>
      <t>Peak revenue aligns with campaign periods, indicating that growth is marketing-driven</t>
    </r>
    <r>
      <rPr>
        <sz val="12"/>
        <color rgb="FF833C0C"/>
        <rFont val="Calibri"/>
        <scheme val="minor"/>
      </rPr>
      <t>.
However, this raises a key question around sustainability without continuous campaign spend.</t>
    </r>
  </si>
  <si>
    <t>4. Churn Rate Insight</t>
  </si>
  <si>
    <r>
      <rPr>
        <b/>
        <sz val="12"/>
        <color rgb="FF833C0C"/>
        <rFont val="Calibri"/>
        <scheme val="minor"/>
      </rPr>
      <t>Churn improved from 44% to 41%</t>
    </r>
    <r>
      <rPr>
        <sz val="12"/>
        <color rgb="FF833C0C"/>
        <rFont val="Calibri"/>
        <scheme val="minor"/>
      </rPr>
      <t xml:space="preserve">, showing better retention. However, </t>
    </r>
    <r>
      <rPr>
        <b/>
        <sz val="12"/>
        <color rgb="FF833C0C"/>
        <rFont val="Calibri"/>
        <scheme val="minor"/>
      </rPr>
      <t xml:space="preserve">a spike in August highlights potential issues in customer experience or acquisition quality.
</t>
    </r>
    <r>
      <rPr>
        <sz val="12"/>
        <color rgb="FF833C0C"/>
        <rFont val="Calibri"/>
        <scheme val="minor"/>
      </rPr>
      <t>Addressing such fluctuations is critical to ensure stable long-term retention.</t>
    </r>
  </si>
  <si>
    <t>5. CAC &amp; LTV Analysis</t>
  </si>
  <si>
    <r>
      <rPr>
        <b/>
        <sz val="12"/>
        <color rgb="FF833C0C"/>
        <rFont val="Calibri"/>
        <scheme val="minor"/>
      </rPr>
      <t>CAC decreased by 22.4%, while LTV increased by 29.6%</t>
    </r>
    <r>
      <rPr>
        <sz val="12"/>
        <color rgb="FF833C0C"/>
        <rFont val="Calibri"/>
        <scheme val="minor"/>
      </rPr>
      <t xml:space="preserve">.
This indicates improving unit economics, with </t>
    </r>
    <r>
      <rPr>
        <b/>
        <sz val="12"/>
        <color rgb="FF833C0C"/>
        <rFont val="Calibri"/>
        <scheme val="minor"/>
      </rPr>
      <t>customers becoming more valuable and cheaper to acquire,</t>
    </r>
    <r>
      <rPr>
        <sz val="12"/>
        <color rgb="FF833C0C"/>
        <rFont val="Calibri"/>
        <scheme val="minor"/>
      </rPr>
      <t xml:space="preserve"> </t>
    </r>
    <r>
      <rPr>
        <b/>
        <sz val="12"/>
        <color rgb="FF833C0C"/>
        <rFont val="Calibri"/>
        <scheme val="minor"/>
      </rPr>
      <t>strengthening overall profitability</t>
    </r>
    <r>
      <rPr>
        <sz val="12"/>
        <color rgb="FF833C0C"/>
        <rFont val="Calibri"/>
        <scheme val="minor"/>
      </rPr>
      <t>.</t>
    </r>
  </si>
  <si>
    <t>6. Actionable Recommendation</t>
  </si>
  <si>
    <t>Focus on Referrals,  maintain campaigns during peak months, and implement retention strategies to further reduce churn. aScale high-ROI channels like referrals
Optimize or reduce low-performing spend (Google Ads)
Investigate churn spikes and improve retention strategies
Focus on sustainable growth beyond campaign-driven peaks</t>
  </si>
  <si>
    <t>.</t>
  </si>
  <si>
    <t>Introduction</t>
  </si>
  <si>
    <t>Growth analytics project for GrowX Labs — a SaaS startup aiming to optimize its marketing spend, customer lifetime value, and churn rate.</t>
  </si>
  <si>
    <t>KPI Highlights</t>
  </si>
  <si>
    <t>Churn rate</t>
  </si>
  <si>
    <t>Trend Insights</t>
  </si>
  <si>
    <t>Active users increased by 118.3% over 12 months</t>
  </si>
  <si>
    <t>Highest ROI channel: Referrals</t>
  </si>
  <si>
    <t>Churn trend: improved over time</t>
  </si>
  <si>
    <t>Actionable Recommendations</t>
  </si>
  <si>
    <t>Reallocate budget to Referrals and Instagram</t>
  </si>
  <si>
    <t>Explore additional acquisition channels or promotions</t>
  </si>
  <si>
    <t>Scale campaigns during months with peak user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</si>
</sst>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 [$₹-4009]\ * #,##0.00_ ;_ [$₹-4009]\ * \-#,##0.00_ ;_ [$₹-4009]\ * &quot;-&quot;??_ ;_ @_ "/>
    <numFmt numFmtId="165" formatCode="[$-F800]dddd\,\ mmmm\ dd\,\ yyyy"/>
  </numFmts>
  <fonts count="3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Amasis MT Pro Black"/>
      <family val="1"/>
    </font>
    <font>
      <b/>
      <sz val="24"/>
      <color theme="0"/>
      <name val="Amasis MT Pro Black"/>
      <family val="1"/>
    </font>
    <font>
      <sz val="20"/>
      <color theme="0"/>
      <name val="Arial"/>
      <family val="2"/>
    </font>
    <font>
      <sz val="20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20"/>
      <color theme="5" tint="-0.499984740745262"/>
      <name val="Amasis MT Pro Black"/>
      <family val="1"/>
    </font>
    <font>
      <sz val="11"/>
      <color theme="5" tint="-0.499984740745262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sz val="12"/>
      <color theme="5" tint="-0.499984740745262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  <font>
      <sz val="11"/>
      <color theme="5" tint="-0.499984740745262"/>
      <name val="Amasis MT Pro Black"/>
      <family val="1"/>
    </font>
    <font>
      <b/>
      <sz val="18"/>
      <color theme="5" tint="-0.499984740745262"/>
      <name val="Amasis MT Pro Black"/>
      <family val="1"/>
    </font>
    <font>
      <sz val="18"/>
      <color theme="5" tint="-0.499984740745262"/>
      <name val="Amasis MT Pro Black"/>
      <family val="1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3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21"/>
      <color theme="0"/>
      <name val="Amasis MT Pro Black"/>
      <family val="1"/>
    </font>
    <font>
      <sz val="24"/>
      <color theme="0"/>
      <name val="Amasis MT Pro Black"/>
      <family val="1"/>
    </font>
    <font>
      <b/>
      <sz val="12"/>
      <color rgb="FF833C0C"/>
      <name val="Calibri"/>
      <scheme val="minor"/>
    </font>
    <font>
      <sz val="12"/>
      <color rgb="FF833C0C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5" tint="-0.499984740745262"/>
      </bottom>
      <diagonal/>
    </border>
    <border>
      <left style="thick">
        <color theme="5" tint="-0.499984740745262"/>
      </left>
      <right/>
      <top style="thick">
        <color theme="5" tint="-0.499984740745262"/>
      </top>
      <bottom/>
      <diagonal/>
    </border>
    <border>
      <left/>
      <right/>
      <top style="thick">
        <color theme="5" tint="-0.499984740745262"/>
      </top>
      <bottom/>
      <diagonal/>
    </border>
    <border>
      <left/>
      <right style="thick">
        <color theme="5" tint="-0.499984740745262"/>
      </right>
      <top style="thick">
        <color theme="5" tint="-0.499984740745262"/>
      </top>
      <bottom/>
      <diagonal/>
    </border>
    <border>
      <left style="thick">
        <color theme="5" tint="-0.499984740745262"/>
      </left>
      <right/>
      <top/>
      <bottom/>
      <diagonal/>
    </border>
    <border>
      <left/>
      <right style="thick">
        <color theme="5" tint="-0.499984740745262"/>
      </right>
      <top/>
      <bottom/>
      <diagonal/>
    </border>
    <border>
      <left style="thick">
        <color theme="5" tint="-0.499984740745262"/>
      </left>
      <right/>
      <top/>
      <bottom style="thick">
        <color theme="5" tint="-0.499984740745262"/>
      </bottom>
      <diagonal/>
    </border>
    <border>
      <left/>
      <right style="thick">
        <color theme="5" tint="-0.499984740745262"/>
      </right>
      <top/>
      <bottom style="thick">
        <color theme="5" tint="-0.499984740745262"/>
      </bottom>
      <diagonal/>
    </border>
    <border>
      <left style="thick">
        <color theme="5" tint="-0.499984740745262"/>
      </left>
      <right/>
      <top style="thick">
        <color theme="5" tint="-0.499984740745262"/>
      </top>
      <bottom style="thick">
        <color theme="5" tint="-0.499984740745262"/>
      </bottom>
      <diagonal/>
    </border>
    <border>
      <left/>
      <right/>
      <top style="thick">
        <color theme="5" tint="-0.499984740745262"/>
      </top>
      <bottom style="thick">
        <color theme="5" tint="-0.499984740745262"/>
      </bottom>
      <diagonal/>
    </border>
    <border>
      <left/>
      <right style="thick">
        <color theme="5" tint="-0.499984740745262"/>
      </right>
      <top style="thick">
        <color theme="5" tint="-0.499984740745262"/>
      </top>
      <bottom style="thick">
        <color theme="5" tint="-0.499984740745262"/>
      </bottom>
      <diagonal/>
    </border>
    <border>
      <left style="thick">
        <color theme="5" tint="-0.499984740745262"/>
      </left>
      <right style="thick">
        <color theme="5" tint="-0.499984740745262"/>
      </right>
      <top/>
      <bottom/>
      <diagonal/>
    </border>
  </borders>
  <cellStyleXfs count="2">
    <xf numFmtId="0" fontId="0" fillId="0" borderId="0"/>
    <xf numFmtId="0" fontId="12" fillId="4" borderId="2" applyNumberFormat="0" applyAlignment="0" applyProtection="0"/>
  </cellStyleXfs>
  <cellXfs count="191">
    <xf numFmtId="0" fontId="0" fillId="0" borderId="0" xfId="0"/>
    <xf numFmtId="0" fontId="2" fillId="0" borderId="0" xfId="0" applyFont="1" applyAlignment="1">
      <alignment horizontal="center" vertical="center" wrapText="1"/>
    </xf>
    <xf numFmtId="3" fontId="0" fillId="0" borderId="0" xfId="0" applyNumberFormat="1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2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2" fillId="0" borderId="0" xfId="0" applyFont="1"/>
    <xf numFmtId="0" fontId="7" fillId="3" borderId="0" xfId="0" applyFont="1" applyFill="1" applyAlignment="1">
      <alignment horizontal="center"/>
    </xf>
    <xf numFmtId="0" fontId="0" fillId="3" borderId="0" xfId="0" applyFill="1"/>
    <xf numFmtId="0" fontId="0" fillId="0" borderId="3" xfId="0" applyBorder="1"/>
    <xf numFmtId="0" fontId="0" fillId="0" borderId="8" xfId="0" applyBorder="1"/>
    <xf numFmtId="0" fontId="0" fillId="0" borderId="10" xfId="0" applyBorder="1"/>
    <xf numFmtId="0" fontId="0" fillId="6" borderId="4" xfId="0" applyFill="1" applyBorder="1"/>
    <xf numFmtId="0" fontId="0" fillId="6" borderId="5" xfId="0" applyFill="1" applyBorder="1"/>
    <xf numFmtId="0" fontId="0" fillId="6" borderId="7" xfId="0" applyFill="1" applyBorder="1"/>
    <xf numFmtId="0" fontId="0" fillId="6" borderId="0" xfId="0" applyFill="1"/>
    <xf numFmtId="0" fontId="0" fillId="6" borderId="6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3" xfId="0" applyFill="1" applyBorder="1"/>
    <xf numFmtId="0" fontId="0" fillId="6" borderId="10" xfId="0" applyFill="1" applyBorder="1"/>
    <xf numFmtId="0" fontId="0" fillId="0" borderId="7" xfId="0" applyBorder="1"/>
    <xf numFmtId="0" fontId="0" fillId="0" borderId="14" xfId="0" applyBorder="1"/>
    <xf numFmtId="0" fontId="14" fillId="3" borderId="4" xfId="0" applyFont="1" applyFill="1" applyBorder="1"/>
    <xf numFmtId="0" fontId="14" fillId="3" borderId="5" xfId="0" applyFont="1" applyFill="1" applyBorder="1"/>
    <xf numFmtId="0" fontId="14" fillId="3" borderId="6" xfId="0" applyFont="1" applyFill="1" applyBorder="1"/>
    <xf numFmtId="0" fontId="14" fillId="3" borderId="0" xfId="0" applyFont="1" applyFill="1"/>
    <xf numFmtId="0" fontId="14" fillId="3" borderId="8" xfId="0" applyFont="1" applyFill="1" applyBorder="1"/>
    <xf numFmtId="0" fontId="14" fillId="3" borderId="7" xfId="0" applyFont="1" applyFill="1" applyBorder="1"/>
    <xf numFmtId="0" fontId="14" fillId="3" borderId="0" xfId="0" applyFont="1" applyFill="1" applyAlignment="1">
      <alignment horizontal="center"/>
    </xf>
    <xf numFmtId="0" fontId="14" fillId="3" borderId="9" xfId="0" applyFont="1" applyFill="1" applyBorder="1"/>
    <xf numFmtId="0" fontId="14" fillId="3" borderId="3" xfId="0" applyFont="1" applyFill="1" applyBorder="1"/>
    <xf numFmtId="0" fontId="14" fillId="3" borderId="10" xfId="0" applyFont="1" applyFill="1" applyBorder="1"/>
    <xf numFmtId="0" fontId="0" fillId="3" borderId="3" xfId="0" applyFill="1" applyBorder="1" applyAlignment="1">
      <alignment horizontal="center" vertical="top"/>
    </xf>
    <xf numFmtId="0" fontId="0" fillId="0" borderId="0" xfId="0" applyAlignment="1">
      <alignment vertical="top"/>
    </xf>
    <xf numFmtId="0" fontId="0" fillId="3" borderId="9" xfId="0" applyFill="1" applyBorder="1" applyAlignment="1">
      <alignment vertical="top"/>
    </xf>
    <xf numFmtId="10" fontId="0" fillId="3" borderId="3" xfId="0" applyNumberFormat="1" applyFill="1" applyBorder="1" applyAlignment="1">
      <alignment horizontal="center" vertical="top"/>
    </xf>
    <xf numFmtId="0" fontId="0" fillId="3" borderId="10" xfId="0" applyFill="1" applyBorder="1" applyAlignment="1">
      <alignment vertical="top"/>
    </xf>
    <xf numFmtId="0" fontId="0" fillId="3" borderId="3" xfId="0" applyFill="1" applyBorder="1" applyAlignment="1">
      <alignment vertical="top"/>
    </xf>
    <xf numFmtId="0" fontId="5" fillId="0" borderId="0" xfId="0" applyFont="1" applyAlignment="1">
      <alignment vertical="center"/>
    </xf>
    <xf numFmtId="0" fontId="0" fillId="0" borderId="9" xfId="0" applyBorder="1"/>
    <xf numFmtId="0" fontId="21" fillId="0" borderId="0" xfId="0" applyFont="1"/>
    <xf numFmtId="0" fontId="25" fillId="0" borderId="0" xfId="0" applyFont="1"/>
    <xf numFmtId="0" fontId="25" fillId="0" borderId="8" xfId="0" applyFont="1" applyBorder="1"/>
    <xf numFmtId="0" fontId="12" fillId="4" borderId="2" xfId="1" applyAlignment="1">
      <alignment horizontal="center" vertical="center" wrapText="1"/>
    </xf>
    <xf numFmtId="0" fontId="12" fillId="4" borderId="2" xfId="1" applyAlignment="1">
      <alignment vertical="center" wrapText="1"/>
    </xf>
    <xf numFmtId="164" fontId="12" fillId="4" borderId="2" xfId="1" applyNumberFormat="1" applyAlignment="1">
      <alignment vertical="center" wrapText="1"/>
    </xf>
    <xf numFmtId="10" fontId="12" fillId="4" borderId="2" xfId="1" applyNumberFormat="1" applyAlignment="1">
      <alignment vertical="center" wrapText="1"/>
    </xf>
    <xf numFmtId="2" fontId="12" fillId="4" borderId="2" xfId="1" applyNumberFormat="1" applyAlignment="1">
      <alignment vertical="center" wrapText="1"/>
    </xf>
    <xf numFmtId="165" fontId="12" fillId="4" borderId="2" xfId="1" applyNumberFormat="1"/>
    <xf numFmtId="0" fontId="12" fillId="4" borderId="2" xfId="1"/>
    <xf numFmtId="164" fontId="12" fillId="4" borderId="2" xfId="1" applyNumberFormat="1"/>
    <xf numFmtId="10" fontId="12" fillId="4" borderId="2" xfId="1" applyNumberFormat="1"/>
    <xf numFmtId="2" fontId="12" fillId="4" borderId="2" xfId="1" applyNumberFormat="1"/>
    <xf numFmtId="0" fontId="15" fillId="3" borderId="7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15" fillId="3" borderId="7" xfId="0" applyFont="1" applyFill="1" applyBorder="1" applyAlignment="1">
      <alignment horizontal="center" vertical="top"/>
    </xf>
    <xf numFmtId="0" fontId="15" fillId="3" borderId="0" xfId="0" applyFont="1" applyFill="1" applyAlignment="1">
      <alignment horizontal="center" vertical="top"/>
    </xf>
    <xf numFmtId="0" fontId="16" fillId="0" borderId="4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16" fillId="0" borderId="9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6" fillId="3" borderId="7" xfId="0" applyFont="1" applyFill="1" applyBorder="1" applyAlignment="1">
      <alignment horizontal="left"/>
    </xf>
    <xf numFmtId="0" fontId="16" fillId="3" borderId="0" xfId="0" applyFont="1" applyFill="1" applyAlignment="1">
      <alignment horizontal="left"/>
    </xf>
    <xf numFmtId="0" fontId="16" fillId="3" borderId="8" xfId="0" applyFont="1" applyFill="1" applyBorder="1" applyAlignment="1">
      <alignment horizontal="left"/>
    </xf>
    <xf numFmtId="0" fontId="15" fillId="3" borderId="7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15" fillId="3" borderId="7" xfId="0" applyFont="1" applyFill="1" applyBorder="1" applyAlignment="1">
      <alignment horizontal="left" vertical="top"/>
    </xf>
    <xf numFmtId="0" fontId="15" fillId="3" borderId="0" xfId="0" applyFont="1" applyFill="1" applyAlignment="1">
      <alignment horizontal="left" vertical="top"/>
    </xf>
    <xf numFmtId="0" fontId="15" fillId="3" borderId="7" xfId="0" applyFont="1" applyFill="1" applyBorder="1" applyAlignment="1">
      <alignment horizontal="center" vertical="top"/>
    </xf>
    <xf numFmtId="0" fontId="15" fillId="3" borderId="0" xfId="0" applyFont="1" applyFill="1" applyAlignment="1">
      <alignment horizontal="center" vertical="top"/>
    </xf>
    <xf numFmtId="0" fontId="13" fillId="3" borderId="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/>
    </xf>
    <xf numFmtId="0" fontId="13" fillId="3" borderId="5" xfId="0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3" fillId="3" borderId="10" xfId="0" applyFont="1" applyFill="1" applyBorder="1" applyAlignment="1">
      <alignment horizontal="center"/>
    </xf>
    <xf numFmtId="0" fontId="18" fillId="3" borderId="11" xfId="0" applyFont="1" applyFill="1" applyBorder="1" applyAlignment="1">
      <alignment horizontal="center" vertical="top"/>
    </xf>
    <xf numFmtId="0" fontId="18" fillId="3" borderId="12" xfId="0" applyFont="1" applyFill="1" applyBorder="1" applyAlignment="1">
      <alignment horizontal="center" vertical="top"/>
    </xf>
    <xf numFmtId="0" fontId="18" fillId="3" borderId="13" xfId="0" applyFont="1" applyFill="1" applyBorder="1" applyAlignment="1">
      <alignment horizontal="center" vertical="top"/>
    </xf>
    <xf numFmtId="0" fontId="8" fillId="5" borderId="4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5" borderId="10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26" fillId="5" borderId="0" xfId="0" applyFont="1" applyFill="1" applyAlignment="1">
      <alignment horizontal="center"/>
    </xf>
    <xf numFmtId="10" fontId="9" fillId="3" borderId="4" xfId="0" applyNumberFormat="1" applyFont="1" applyFill="1" applyBorder="1" applyAlignment="1">
      <alignment horizontal="center" vertical="center"/>
    </xf>
    <xf numFmtId="10" fontId="9" fillId="3" borderId="5" xfId="0" applyNumberFormat="1" applyFont="1" applyFill="1" applyBorder="1" applyAlignment="1">
      <alignment horizontal="center" vertical="center"/>
    </xf>
    <xf numFmtId="10" fontId="9" fillId="3" borderId="6" xfId="0" applyNumberFormat="1" applyFont="1" applyFill="1" applyBorder="1" applyAlignment="1">
      <alignment horizontal="center" vertical="center"/>
    </xf>
    <xf numFmtId="10" fontId="9" fillId="3" borderId="7" xfId="0" applyNumberFormat="1" applyFont="1" applyFill="1" applyBorder="1" applyAlignment="1">
      <alignment horizontal="center" vertical="center"/>
    </xf>
    <xf numFmtId="10" fontId="9" fillId="3" borderId="0" xfId="0" applyNumberFormat="1" applyFont="1" applyFill="1" applyAlignment="1">
      <alignment horizontal="center" vertical="center"/>
    </xf>
    <xf numFmtId="10" fontId="9" fillId="3" borderId="8" xfId="0" applyNumberFormat="1" applyFont="1" applyFill="1" applyBorder="1" applyAlignment="1">
      <alignment horizontal="center" vertical="center"/>
    </xf>
    <xf numFmtId="10" fontId="9" fillId="3" borderId="4" xfId="0" applyNumberFormat="1" applyFont="1" applyFill="1" applyBorder="1" applyAlignment="1">
      <alignment horizontal="center"/>
    </xf>
    <xf numFmtId="10" fontId="9" fillId="3" borderId="5" xfId="0" applyNumberFormat="1" applyFont="1" applyFill="1" applyBorder="1" applyAlignment="1">
      <alignment horizontal="center"/>
    </xf>
    <xf numFmtId="10" fontId="9" fillId="3" borderId="6" xfId="0" applyNumberFormat="1" applyFont="1" applyFill="1" applyBorder="1" applyAlignment="1">
      <alignment horizontal="center"/>
    </xf>
    <xf numFmtId="10" fontId="9" fillId="3" borderId="7" xfId="0" applyNumberFormat="1" applyFont="1" applyFill="1" applyBorder="1" applyAlignment="1">
      <alignment horizontal="center"/>
    </xf>
    <xf numFmtId="10" fontId="9" fillId="3" borderId="0" xfId="0" applyNumberFormat="1" applyFont="1" applyFill="1" applyAlignment="1">
      <alignment horizontal="center"/>
    </xf>
    <xf numFmtId="10" fontId="9" fillId="3" borderId="8" xfId="0" applyNumberFormat="1" applyFont="1" applyFill="1" applyBorder="1" applyAlignment="1">
      <alignment horizontal="center"/>
    </xf>
    <xf numFmtId="44" fontId="10" fillId="3" borderId="4" xfId="0" applyNumberFormat="1" applyFont="1" applyFill="1" applyBorder="1" applyAlignment="1">
      <alignment horizontal="center"/>
    </xf>
    <xf numFmtId="44" fontId="10" fillId="3" borderId="5" xfId="0" applyNumberFormat="1" applyFont="1" applyFill="1" applyBorder="1" applyAlignment="1">
      <alignment horizontal="center"/>
    </xf>
    <xf numFmtId="44" fontId="10" fillId="3" borderId="6" xfId="0" applyNumberFormat="1" applyFont="1" applyFill="1" applyBorder="1" applyAlignment="1">
      <alignment horizontal="center"/>
    </xf>
    <xf numFmtId="44" fontId="10" fillId="3" borderId="7" xfId="0" applyNumberFormat="1" applyFont="1" applyFill="1" applyBorder="1" applyAlignment="1">
      <alignment horizontal="center"/>
    </xf>
    <xf numFmtId="44" fontId="10" fillId="3" borderId="0" xfId="0" applyNumberFormat="1" applyFont="1" applyFill="1" applyAlignment="1">
      <alignment horizontal="center"/>
    </xf>
    <xf numFmtId="44" fontId="10" fillId="3" borderId="8" xfId="0" applyNumberFormat="1" applyFont="1" applyFill="1" applyBorder="1" applyAlignment="1">
      <alignment horizontal="center"/>
    </xf>
    <xf numFmtId="2" fontId="11" fillId="3" borderId="4" xfId="0" applyNumberFormat="1" applyFont="1" applyFill="1" applyBorder="1" applyAlignment="1">
      <alignment horizontal="center"/>
    </xf>
    <xf numFmtId="2" fontId="11" fillId="3" borderId="5" xfId="0" applyNumberFormat="1" applyFont="1" applyFill="1" applyBorder="1" applyAlignment="1">
      <alignment horizontal="center"/>
    </xf>
    <xf numFmtId="2" fontId="11" fillId="3" borderId="6" xfId="0" applyNumberFormat="1" applyFont="1" applyFill="1" applyBorder="1" applyAlignment="1">
      <alignment horizontal="center"/>
    </xf>
    <xf numFmtId="2" fontId="11" fillId="3" borderId="7" xfId="0" applyNumberFormat="1" applyFont="1" applyFill="1" applyBorder="1" applyAlignment="1">
      <alignment horizontal="center"/>
    </xf>
    <xf numFmtId="2" fontId="11" fillId="3" borderId="0" xfId="0" applyNumberFormat="1" applyFont="1" applyFill="1" applyAlignment="1">
      <alignment horizontal="center"/>
    </xf>
    <xf numFmtId="2" fontId="11" fillId="3" borderId="8" xfId="0" applyNumberFormat="1" applyFont="1" applyFill="1" applyBorder="1" applyAlignment="1">
      <alignment horizontal="center"/>
    </xf>
    <xf numFmtId="0" fontId="23" fillId="5" borderId="4" xfId="0" applyFont="1" applyFill="1" applyBorder="1" applyAlignment="1">
      <alignment horizontal="center" vertical="center"/>
    </xf>
    <xf numFmtId="0" fontId="23" fillId="5" borderId="6" xfId="0" applyFont="1" applyFill="1" applyBorder="1" applyAlignment="1">
      <alignment horizontal="center" vertical="center"/>
    </xf>
    <xf numFmtId="0" fontId="23" fillId="5" borderId="9" xfId="0" applyFont="1" applyFill="1" applyBorder="1" applyAlignment="1">
      <alignment horizontal="center" vertical="center"/>
    </xf>
    <xf numFmtId="0" fontId="23" fillId="5" borderId="10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0" fontId="17" fillId="0" borderId="6" xfId="0" applyFont="1" applyBorder="1" applyAlignment="1">
      <alignment horizontal="left"/>
    </xf>
    <xf numFmtId="0" fontId="17" fillId="0" borderId="7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7" fillId="0" borderId="8" xfId="0" applyFont="1" applyBorder="1" applyAlignment="1">
      <alignment horizontal="left"/>
    </xf>
    <xf numFmtId="0" fontId="17" fillId="0" borderId="4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23" fillId="5" borderId="5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22" fillId="5" borderId="4" xfId="0" applyFont="1" applyFill="1" applyBorder="1" applyAlignment="1">
      <alignment horizontal="center" vertical="center"/>
    </xf>
    <xf numFmtId="0" fontId="22" fillId="5" borderId="6" xfId="0" applyFont="1" applyFill="1" applyBorder="1" applyAlignment="1">
      <alignment horizontal="center" vertical="center"/>
    </xf>
    <xf numFmtId="0" fontId="22" fillId="5" borderId="9" xfId="0" applyFont="1" applyFill="1" applyBorder="1" applyAlignment="1">
      <alignment horizontal="center" vertical="center"/>
    </xf>
    <xf numFmtId="0" fontId="22" fillId="5" borderId="10" xfId="0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wrapText="1"/>
    </xf>
    <xf numFmtId="0" fontId="24" fillId="0" borderId="5" xfId="0" applyFont="1" applyBorder="1" applyAlignment="1">
      <alignment horizontal="center" wrapText="1"/>
    </xf>
    <xf numFmtId="0" fontId="24" fillId="0" borderId="6" xfId="0" applyFont="1" applyBorder="1" applyAlignment="1">
      <alignment horizontal="center" wrapText="1"/>
    </xf>
    <xf numFmtId="0" fontId="24" fillId="0" borderId="9" xfId="0" applyFont="1" applyBorder="1" applyAlignment="1">
      <alignment horizontal="center" wrapText="1"/>
    </xf>
    <xf numFmtId="0" fontId="24" fillId="0" borderId="3" xfId="0" applyFont="1" applyBorder="1" applyAlignment="1">
      <alignment horizontal="center" wrapText="1"/>
    </xf>
    <xf numFmtId="0" fontId="24" fillId="0" borderId="10" xfId="0" applyFont="1" applyBorder="1" applyAlignment="1">
      <alignment horizontal="center" wrapText="1"/>
    </xf>
    <xf numFmtId="0" fontId="27" fillId="5" borderId="0" xfId="0" applyFont="1" applyFill="1" applyAlignment="1">
      <alignment horizontal="center" wrapText="1"/>
    </xf>
    <xf numFmtId="0" fontId="28" fillId="3" borderId="7" xfId="0" applyFont="1" applyFill="1" applyBorder="1" applyAlignment="1">
      <alignment horizontal="left" wrapText="1"/>
    </xf>
    <xf numFmtId="0" fontId="29" fillId="3" borderId="7" xfId="0" applyFont="1" applyFill="1" applyBorder="1" applyAlignment="1">
      <alignment horizontal="left" wrapText="1"/>
    </xf>
    <xf numFmtId="0" fontId="29" fillId="3" borderId="0" xfId="0" applyFont="1" applyFill="1" applyBorder="1" applyAlignment="1">
      <alignment horizontal="left" wrapText="1"/>
    </xf>
    <xf numFmtId="0" fontId="29" fillId="3" borderId="8" xfId="0" applyFont="1" applyFill="1" applyBorder="1" applyAlignment="1">
      <alignment horizontal="left" wrapText="1"/>
    </xf>
    <xf numFmtId="0" fontId="28" fillId="3" borderId="0" xfId="0" applyFont="1" applyFill="1" applyBorder="1" applyAlignment="1">
      <alignment horizontal="left" wrapText="1"/>
    </xf>
    <xf numFmtId="0" fontId="28" fillId="3" borderId="8" xfId="0" applyFont="1" applyFill="1" applyBorder="1" applyAlignment="1">
      <alignment horizontal="left" wrapText="1"/>
    </xf>
    <xf numFmtId="0" fontId="0" fillId="6" borderId="0" xfId="0" applyFill="1" applyBorder="1"/>
    <xf numFmtId="2" fontId="11" fillId="3" borderId="0" xfId="0" applyNumberFormat="1" applyFont="1" applyFill="1" applyBorder="1" applyAlignment="1">
      <alignment horizontal="center"/>
    </xf>
    <xf numFmtId="0" fontId="0" fillId="3" borderId="0" xfId="0" applyFill="1" applyBorder="1" applyAlignment="1">
      <alignment vertical="top"/>
    </xf>
    <xf numFmtId="0" fontId="26" fillId="3" borderId="0" xfId="0" applyFont="1" applyFill="1" applyAlignment="1">
      <alignment horizontal="center"/>
    </xf>
  </cellXfs>
  <cellStyles count="2">
    <cellStyle name="Calculation" xfId="1" builtinId="22"/>
    <cellStyle name="Normal" xfId="0" builtinId="0"/>
  </cellStyles>
  <dxfs count="45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b val="0"/>
        <i val="0"/>
        <color rgb="FFFF0000"/>
      </font>
    </dxf>
    <dxf>
      <font>
        <b val="0"/>
        <i val="0"/>
        <color rgb="FF00B050"/>
      </font>
    </dxf>
    <dxf>
      <font>
        <color rgb="FF00B050"/>
      </font>
    </dxf>
    <dxf>
      <font>
        <color rgb="FFFF0000"/>
      </font>
    </dxf>
    <dxf>
      <font>
        <b val="0"/>
        <i val="0"/>
        <color rgb="FF00B050"/>
      </font>
    </dxf>
    <dxf>
      <font>
        <b val="0"/>
        <i val="0"/>
        <color rgb="FFFF0000"/>
      </font>
    </dxf>
    <dxf>
      <font>
        <color rgb="FF00B050"/>
      </font>
    </dxf>
    <dxf>
      <font>
        <color rgb="FFFF0000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00B050"/>
      </font>
    </dxf>
    <dxf>
      <font>
        <color rgb="FFFF0000"/>
      </font>
    </dxf>
    <dxf>
      <numFmt numFmtId="164" formatCode="_ [$₹-4009]\ * #,##0.00_ ;_ [$₹-4009]\ * \-#,##0.00_ ;_ [$₹-4009]\ * &quot;-&quot;??_ ;_ @_ "/>
    </dxf>
    <dxf>
      <numFmt numFmtId="2" formatCode="0.00"/>
    </dxf>
    <dxf>
      <numFmt numFmtId="2" formatCode="0.00"/>
    </dxf>
    <dxf>
      <numFmt numFmtId="14" formatCode="0.00%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5" formatCode="[$-F800]dddd\,\ mmmm\ dd\,\ yyyy"/>
    </dxf>
    <dxf>
      <alignment horizontal="center" vertical="center" textRotation="0" wrapText="1" indent="0" justifyLastLine="0" shrinkToFit="0" readingOrder="0"/>
    </dxf>
    <dxf>
      <numFmt numFmtId="164" formatCode="_ [$₹-4009]\ * #,##0.00_ ;_ [$₹-4009]\ * \-#,##0.00_ ;_ [$₹-4009]\ * &quot;-&quot;??_ ;_ @_ "/>
      <alignment horizontal="general" vertical="center" textRotation="0" wrapText="1" indent="0" justifyLastLine="0" shrinkToFit="0" readingOrder="0"/>
    </dxf>
    <dxf>
      <numFmt numFmtId="164" formatCode="_ [$₹-4009]\ * #,##0.00_ ;_ [$₹-4009]\ * \-#,##0.00_ ;_ [$₹-4009]\ * &quot;-&quot;??_ ;_ @_ "/>
      <alignment horizontal="general" vertical="center" textRotation="0" wrapText="1" indent="0" justifyLastLine="0" shrinkToFit="0" readingOrder="0"/>
    </dxf>
    <dxf>
      <numFmt numFmtId="164" formatCode="_ [$₹-4009]\ * #,##0.00_ ;_ [$₹-4009]\ * \-#,##0.00_ ;_ [$₹-4009]\ * &quot;-&quot;??_ ;_ @_ "/>
      <alignment horizontal="general" vertical="center" textRotation="0" wrapText="1" indent="0" justifyLastLine="0" shrinkToFit="0" readingOrder="0"/>
    </dxf>
    <dxf>
      <numFmt numFmtId="2" formatCode="0.00"/>
      <alignment horizontal="general" vertical="center" textRotation="0" wrapText="1" indent="0" justifyLastLine="0" shrinkToFit="0" readingOrder="0"/>
    </dxf>
    <dxf>
      <numFmt numFmtId="2" formatCode="0.00"/>
      <alignment horizontal="general" vertical="center" textRotation="0" wrapText="1" indent="0" justifyLastLine="0" shrinkToFit="0" readingOrder="0"/>
    </dxf>
    <dxf>
      <numFmt numFmtId="14" formatCode="0.00%"/>
      <alignment horizontal="general" vertical="center" textRotation="0" wrapText="1" indent="0" justifyLastLine="0" shrinkToFit="0" readingOrder="0"/>
    </dxf>
    <dxf>
      <numFmt numFmtId="164" formatCode="_ [$₹-4009]\ * #,##0.00_ ;_ [$₹-4009]\ * \-#,##0.00_ ;_ [$₹-4009]\ * &quot;-&quot;??_ ;_ @_ "/>
      <alignment horizontal="general" vertical="center" textRotation="0" wrapText="1" indent="0" justifyLastLine="0" shrinkToFit="0" readingOrder="0"/>
    </dxf>
    <dxf>
      <numFmt numFmtId="164" formatCode="_ [$₹-4009]\ * #,##0.00_ ;_ [$₹-4009]\ * \-#,##0.00_ ;_ [$₹-4009]\ * &quot;-&quot;??_ ;_ @_ "/>
      <alignment horizontal="general" vertical="center" textRotation="0" wrapText="1" indent="0" justifyLastLine="0" shrinkToFit="0" readingOrder="0"/>
    </dxf>
    <dxf>
      <numFmt numFmtId="164" formatCode="_ [$₹-4009]\ * #,##0.00_ ;_ [$₹-4009]\ * \-#,##0.00_ ;_ [$₹-4009]\ * &quot;-&quot;??_ ;_ @_ 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377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[Growth Analysis (GrowX Labs).xlsx]03_Analysis_Pivots!PivotTable9</c:name>
    <c:fmtId val="39"/>
  </c:pivotSource>
  <c:chart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lumMod val="50000"/>
              </a:schemeClr>
            </a:soli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lumMod val="50000"/>
              </a:schemeClr>
            </a:soli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'03_Analysis_Pivots'!$B$3</c:f>
              <c:strCache>
                <c:ptCount val="1"/>
                <c:pt idx="0">
                  <c:v>Sum of Active Users</c:v>
                </c:pt>
              </c:strCache>
            </c:strRef>
          </c:tx>
          <c:spPr>
            <a:ln w="31750" cap="rnd">
              <a:solidFill>
                <a:schemeClr val="accent6">
                  <a:tint val="77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>
                  <a:lumMod val="50000"/>
                </a:schemeClr>
              </a:soli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'03_Analysis_Pivots'!$A$4:$A$8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'03_Analysis_Pivots'!$B$4:$B$8</c:f>
              <c:numCache>
                <c:formatCode>General</c:formatCode>
                <c:ptCount val="4"/>
                <c:pt idx="0">
                  <c:v>495</c:v>
                </c:pt>
                <c:pt idx="1">
                  <c:v>620</c:v>
                </c:pt>
                <c:pt idx="2">
                  <c:v>695</c:v>
                </c:pt>
                <c:pt idx="3">
                  <c:v>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78-4DF9-A334-9A53D4CB8DD1}"/>
            </c:ext>
          </c:extLst>
        </c:ser>
        <c:ser>
          <c:idx val="1"/>
          <c:order val="1"/>
          <c:tx>
            <c:strRef>
              <c:f>'03_Analysis_Pivots'!$C$3</c:f>
              <c:strCache>
                <c:ptCount val="1"/>
                <c:pt idx="0">
                  <c:v>Sum of New Users</c:v>
                </c:pt>
              </c:strCache>
            </c:strRef>
          </c:tx>
          <c:spPr>
            <a:ln w="31750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>
                  <a:lumMod val="50000"/>
                </a:schemeClr>
              </a:soli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'03_Analysis_Pivots'!$A$4:$A$8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'03_Analysis_Pivots'!$C$4:$C$8</c:f>
              <c:numCache>
                <c:formatCode>General</c:formatCode>
                <c:ptCount val="4"/>
                <c:pt idx="0">
                  <c:v>600</c:v>
                </c:pt>
                <c:pt idx="1">
                  <c:v>750</c:v>
                </c:pt>
                <c:pt idx="2">
                  <c:v>830</c:v>
                </c:pt>
                <c:pt idx="3">
                  <c:v>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78-4DF9-A334-9A53D4CB8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2953648"/>
        <c:axId val="2132953168"/>
      </c:lineChart>
      <c:catAx>
        <c:axId val="213295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953168"/>
        <c:crosses val="autoZero"/>
        <c:auto val="1"/>
        <c:lblAlgn val="ctr"/>
        <c:lblOffset val="100"/>
        <c:noMultiLvlLbl val="0"/>
      </c:catAx>
      <c:valAx>
        <c:axId val="213295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95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[Growth Analysis (GrowX Labs).xlsx]03_Analysis_Pivots!PivotTable10</c:name>
    <c:fmtId val="3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'03_Analysis_Pivots'!$I$3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'03_Analysis_Pivots'!$H$4:$H$7</c:f>
              <c:strCache>
                <c:ptCount val="3"/>
                <c:pt idx="0">
                  <c:v>Google Ads</c:v>
                </c:pt>
                <c:pt idx="1">
                  <c:v>Instagram</c:v>
                </c:pt>
                <c:pt idx="2">
                  <c:v>Referrals</c:v>
                </c:pt>
              </c:strCache>
            </c:strRef>
          </c:cat>
          <c:val>
            <c:numRef>
              <c:f>'03_Analysis_Pivots'!$I$4:$I$7</c:f>
              <c:numCache>
                <c:formatCode>#,##0</c:formatCode>
                <c:ptCount val="3"/>
                <c:pt idx="0">
                  <c:v>928000</c:v>
                </c:pt>
                <c:pt idx="1">
                  <c:v>467000</c:v>
                </c:pt>
                <c:pt idx="2">
                  <c:v>363000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EF-4C98-B59A-E8DC20B28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556128"/>
        <c:axId val="182565728"/>
      </c:barChart>
      <c:lineChart>
        <c:grouping val="standard"/>
        <c:varyColors val="0"/>
        <c:ser>
          <c:idx val="1"/>
          <c:order val="1"/>
          <c:tx>
            <c:strRef>
              <c:f>'03_Analysis_Pivots'!$J$3</c:f>
              <c:strCache>
                <c:ptCount val="1"/>
                <c:pt idx="0">
                  <c:v>Sum of Churn Rate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'03_Analysis_Pivots'!$H$4:$H$7</c:f>
              <c:strCache>
                <c:ptCount val="3"/>
                <c:pt idx="0">
                  <c:v>Google Ads</c:v>
                </c:pt>
                <c:pt idx="1">
                  <c:v>Instagram</c:v>
                </c:pt>
                <c:pt idx="2">
                  <c:v>Referrals</c:v>
                </c:pt>
              </c:strCache>
            </c:strRef>
          </c:cat>
          <c:val>
            <c:numRef>
              <c:f>'03_Analysis_Pivots'!$J$4:$J$7</c:f>
              <c:numCache>
                <c:formatCode>0.00</c:formatCode>
                <c:ptCount val="3"/>
                <c:pt idx="0">
                  <c:v>2.3354944772104851</c:v>
                </c:pt>
                <c:pt idx="1">
                  <c:v>1.7187307415016391</c:v>
                </c:pt>
                <c:pt idx="2">
                  <c:v>1.0202690827690826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EF-4C98-B59A-E8DC20B28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2104355408"/>
        <c:axId val="2104345808"/>
      </c:lineChart>
      <c:catAx>
        <c:axId val="18255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65728"/>
        <c:crosses val="autoZero"/>
        <c:auto val="1"/>
        <c:lblAlgn val="ctr"/>
        <c:lblOffset val="100"/>
        <c:noMultiLvlLbl val="0"/>
      </c:catAx>
      <c:valAx>
        <c:axId val="18256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56128"/>
        <c:crosses val="autoZero"/>
        <c:crossBetween val="between"/>
      </c:valAx>
      <c:valAx>
        <c:axId val="2104345808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355408"/>
        <c:crosses val="max"/>
        <c:crossBetween val="between"/>
      </c:valAx>
      <c:catAx>
        <c:axId val="2104355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43458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[Growth Analysis (GrowX Labs).xlsx]03_Analysis_Pivots!PivotTable12</c:name>
    <c:fmtId val="45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38100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8"/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38100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8"/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38100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8"/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38100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8"/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38100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8"/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38100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8"/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>
              <a:lumMod val="50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38100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>
                <a:lumMod val="50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'03_Analysis_Pivots'!$I$13</c:f>
              <c:strCache>
                <c:ptCount val="1"/>
                <c:pt idx="0">
                  <c:v>Sum of Marketing Spend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</c:spPr>
          <c:invertIfNegative val="0"/>
          <c:cat>
            <c:strRef>
              <c:f>'03_Analysis_Pivots'!$H$14:$H$17</c:f>
              <c:strCache>
                <c:ptCount val="3"/>
                <c:pt idx="0">
                  <c:v>Google Ads</c:v>
                </c:pt>
                <c:pt idx="1">
                  <c:v>Instagram</c:v>
                </c:pt>
                <c:pt idx="2">
                  <c:v>Referrals</c:v>
                </c:pt>
              </c:strCache>
            </c:strRef>
          </c:cat>
          <c:val>
            <c:numRef>
              <c:f>'03_Analysis_Pivots'!$I$14:$I$17</c:f>
              <c:numCache>
                <c:formatCode>#,##0</c:formatCode>
                <c:ptCount val="3"/>
                <c:pt idx="0">
                  <c:v>166800</c:v>
                </c:pt>
                <c:pt idx="1">
                  <c:v>66200</c:v>
                </c:pt>
                <c:pt idx="2">
                  <c:v>40800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40-46AA-9747-9EE860B31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2104331888"/>
        <c:axId val="2104325648"/>
      </c:barChart>
      <c:lineChart>
        <c:grouping val="standard"/>
        <c:varyColors val="0"/>
        <c:ser>
          <c:idx val="1"/>
          <c:order val="1"/>
          <c:tx>
            <c:strRef>
              <c:f>'03_Analysis_Pivots'!$J$13</c:f>
              <c:strCache>
                <c:ptCount val="1"/>
                <c:pt idx="0">
                  <c:v>Sum of ROI</c:v>
                </c:pt>
              </c:strCache>
            </c:strRef>
          </c:tx>
          <c:spPr>
            <a:ln w="381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strRef>
              <c:f>'03_Analysis_Pivots'!$H$14:$H$17</c:f>
              <c:strCache>
                <c:ptCount val="3"/>
                <c:pt idx="0">
                  <c:v>Google Ads</c:v>
                </c:pt>
                <c:pt idx="1">
                  <c:v>Instagram</c:v>
                </c:pt>
                <c:pt idx="2">
                  <c:v>Referrals</c:v>
                </c:pt>
              </c:strCache>
            </c:strRef>
          </c:cat>
          <c:val>
            <c:numRef>
              <c:f>'03_Analysis_Pivots'!$J$14:$J$17</c:f>
              <c:numCache>
                <c:formatCode>0.00%</c:formatCode>
                <c:ptCount val="3"/>
                <c:pt idx="0">
                  <c:v>53.956327570766561</c:v>
                </c:pt>
                <c:pt idx="1">
                  <c:v>71.359045559865919</c:v>
                </c:pt>
                <c:pt idx="2">
                  <c:v>94.28180677980825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40-46AA-9747-9EE860B31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758912"/>
        <c:axId val="424757472"/>
      </c:lineChart>
      <c:catAx>
        <c:axId val="2104331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325648"/>
        <c:crosses val="autoZero"/>
        <c:auto val="1"/>
        <c:lblAlgn val="ctr"/>
        <c:lblOffset val="100"/>
        <c:noMultiLvlLbl val="0"/>
      </c:catAx>
      <c:valAx>
        <c:axId val="210432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cap="all" baseline="0"/>
                  <a:t>Marketing Spend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331888"/>
        <c:crosses val="autoZero"/>
        <c:crossBetween val="between"/>
      </c:valAx>
      <c:valAx>
        <c:axId val="42475747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ROI </a:t>
                </a:r>
                <a:r>
                  <a:rPr lang="en-IN" sz="900" b="1" i="0" u="none" strike="noStrike" cap="all" baseline="0"/>
                  <a:t>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758912"/>
        <c:crosses val="max"/>
        <c:crossBetween val="between"/>
      </c:valAx>
      <c:catAx>
        <c:axId val="424758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4757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38100</xdr:colOff>
      <xdr:row>31</xdr:row>
      <xdr:rowOff>9525</xdr:rowOff>
    </xdr:from>
    <xdr:to>
      <xdr:col>35</xdr:col>
      <xdr:colOff>342900</xdr:colOff>
      <xdr:row>46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92EDAC-EE9E-4F12-A4BC-3597D8F75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409575</xdr:colOff>
      <xdr:row>31</xdr:row>
      <xdr:rowOff>24765</xdr:rowOff>
    </xdr:from>
    <xdr:to>
      <xdr:col>43</xdr:col>
      <xdr:colOff>104775</xdr:colOff>
      <xdr:row>46</xdr:row>
      <xdr:rowOff>24765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CD7E178-8C50-4905-9D5F-6E97C6A58BF2}"/>
            </a:ext>
            <a:ext uri="{147F2762-F138-4A5C-976F-8EAC2B608ADB}">
              <a16:predDERef xmlns:a16="http://schemas.microsoft.com/office/drawing/2014/main" pred="{6A92EDAC-EE9E-4F12-A4BC-3597D8F75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161925</xdr:colOff>
      <xdr:row>31</xdr:row>
      <xdr:rowOff>53340</xdr:rowOff>
    </xdr:from>
    <xdr:to>
      <xdr:col>50</xdr:col>
      <xdr:colOff>466725</xdr:colOff>
      <xdr:row>46</xdr:row>
      <xdr:rowOff>45720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CD5494A-0DFB-4AB0-A329-343F4403C620}"/>
            </a:ext>
            <a:ext uri="{147F2762-F138-4A5C-976F-8EAC2B608ADB}">
              <a16:predDERef xmlns:a16="http://schemas.microsoft.com/office/drawing/2014/main" pred="{CCD7E178-8C50-4905-9D5F-6E97C6A58B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6.685528240741" createdVersion="8" refreshedVersion="8" minRefreshableVersion="3" recordCount="36" xr:uid="{EAC31077-8B92-4968-A5AF-9A8E8E240577}">
  <cacheSource type="worksheet">
    <worksheetSource name="Metrics"/>
  </cacheSource>
  <cacheFields count="13"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Channel" numFmtId="0">
      <sharedItems count="3">
        <s v="Google Ads"/>
        <s v="Instagram"/>
        <s v="Referrals"/>
      </sharedItems>
    </cacheField>
    <cacheField name="New Users" numFmtId="0">
      <sharedItems containsSemiMixedTypes="0" containsString="0" containsNumber="1" containsInteger="1" minValue="100" maxValue="630"/>
    </cacheField>
    <cacheField name="Active Users" numFmtId="0">
      <sharedItems containsSemiMixedTypes="0" containsString="0" containsNumber="1" containsInteger="1" minValue="95" maxValue="520"/>
    </cacheField>
    <cacheField name="Revenue" numFmtId="164">
      <sharedItems containsSemiMixedTypes="0" containsString="0" containsNumber="1" containsInteger="1" minValue="18000" maxValue="99000"/>
    </cacheField>
    <cacheField name="Marketing Spend" numFmtId="164">
      <sharedItems containsSemiMixedTypes="0" containsString="0" containsNumber="1" containsInteger="1" minValue="2000" maxValue="16000"/>
    </cacheField>
    <cacheField name="CAC" numFmtId="164">
      <sharedItems containsSemiMixedTypes="0" containsString="0" containsNumber="1" minValue="15.357142857142858" maxValue="31.25"/>
    </cacheField>
    <cacheField name="ROI" numFmtId="10">
      <sharedItems containsSemiMixedTypes="0" containsString="0" containsNumber="1" minValue="3.5" maxValue="8.3023255813953494"/>
    </cacheField>
    <cacheField name="Retention Rate" numFmtId="2">
      <sharedItems containsSemiMixedTypes="0" containsString="0" containsNumber="1" minValue="0.77500000000000002" maxValue="0.95"/>
    </cacheField>
    <cacheField name="Churn Rate" numFmtId="2">
      <sharedItems containsSemiMixedTypes="0" containsString="0" containsNumber="1" minValue="5.0000000000000044E-2" maxValue="0.22499999999999998"/>
    </cacheField>
    <cacheField name="LTV" numFmtId="164">
      <sharedItems containsSemiMixedTypes="0" containsString="0" containsNumber="1" minValue="802.86738351254485" maxValue="3789.4736842105231"/>
    </cacheField>
    <cacheField name="ARPU" numFmtId="164">
      <sharedItems containsSemiMixedTypes="0" containsString="0" containsNumber="1" minValue="134.69387755102042" maxValue="192"/>
    </cacheField>
    <cacheField name="MRR" numFmtId="164">
      <sharedItems containsSemiMixedTypes="0" containsString="0" containsNumber="1" minValue="3226666.6666666665" maxValue="18848076.9230769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n v="320"/>
    <n v="250"/>
    <n v="45000"/>
    <n v="10000"/>
    <n v="31.25"/>
    <n v="3.5"/>
    <n v="0.78125"/>
    <n v="0.21875"/>
    <n v="822.85714285714278"/>
    <n v="180"/>
    <n v="8100000"/>
  </r>
  <r>
    <x v="0"/>
    <x v="1"/>
    <n v="180"/>
    <n v="150"/>
    <n v="22000"/>
    <n v="4000"/>
    <n v="22.222222222222221"/>
    <n v="4.5"/>
    <n v="0.83333333333333337"/>
    <n v="0.16666666666666663"/>
    <n v="880.00000000000023"/>
    <n v="146.66666666666666"/>
    <n v="3226666.6666666665"/>
  </r>
  <r>
    <x v="0"/>
    <x v="2"/>
    <n v="100"/>
    <n v="95"/>
    <n v="18000"/>
    <n v="2000"/>
    <n v="20"/>
    <n v="8"/>
    <n v="0.95"/>
    <n v="5.0000000000000044E-2"/>
    <n v="3789.4736842105231"/>
    <n v="189.47368421052633"/>
    <n v="3410526.3157894737"/>
  </r>
  <r>
    <x v="1"/>
    <x v="0"/>
    <n v="400"/>
    <n v="310"/>
    <n v="56000"/>
    <n v="12000"/>
    <n v="30"/>
    <n v="3.6666666666666665"/>
    <n v="0.77500000000000002"/>
    <n v="0.22499999999999998"/>
    <n v="802.86738351254485"/>
    <n v="180.64516129032259"/>
    <n v="10116129.032258065"/>
  </r>
  <r>
    <x v="1"/>
    <x v="1"/>
    <n v="220"/>
    <n v="190"/>
    <n v="26000"/>
    <n v="4500"/>
    <n v="20.454545454545453"/>
    <n v="4.7777777777777777"/>
    <n v="0.86363636363636365"/>
    <n v="0.13636363636363635"/>
    <n v="1003.5087719298247"/>
    <n v="136.84210526315789"/>
    <n v="3557894.7368421052"/>
  </r>
  <r>
    <x v="1"/>
    <x v="2"/>
    <n v="130"/>
    <n v="120"/>
    <n v="20000"/>
    <n v="2500"/>
    <n v="19.23076923076923"/>
    <n v="7"/>
    <n v="0.92307692307692313"/>
    <n v="7.6923076923076872E-2"/>
    <n v="2166.6666666666679"/>
    <n v="166.66666666666666"/>
    <n v="3333333.333333333"/>
  </r>
  <r>
    <x v="2"/>
    <x v="0"/>
    <n v="430"/>
    <n v="340"/>
    <n v="61000"/>
    <n v="12500"/>
    <n v="29.069767441860463"/>
    <n v="3.88"/>
    <n v="0.79069767441860461"/>
    <n v="0.20930232558139539"/>
    <n v="857.18954248365992"/>
    <n v="179.41176470588235"/>
    <n v="10944117.647058824"/>
  </r>
  <r>
    <x v="2"/>
    <x v="1"/>
    <n v="250"/>
    <n v="215"/>
    <n v="29000"/>
    <n v="4800"/>
    <n v="19.2"/>
    <n v="5.041666666666667"/>
    <n v="0.86"/>
    <n v="0.14000000000000001"/>
    <n v="963.45514950166103"/>
    <n v="134.88372093023256"/>
    <n v="3911627.9069767441"/>
  </r>
  <r>
    <x v="2"/>
    <x v="2"/>
    <n v="150"/>
    <n v="140"/>
    <n v="23000"/>
    <n v="2700"/>
    <n v="18"/>
    <n v="7.5185185185185182"/>
    <n v="0.93333333333333335"/>
    <n v="6.6666666666666652E-2"/>
    <n v="2464.2857142857147"/>
    <n v="164.28571428571428"/>
    <n v="3778571.4285714282"/>
  </r>
  <r>
    <x v="3"/>
    <x v="0"/>
    <n v="460"/>
    <n v="370"/>
    <n v="67000"/>
    <n v="13000"/>
    <n v="28.260869565217391"/>
    <n v="4.1538461538461542"/>
    <n v="0.80434782608695654"/>
    <n v="0.19565217391304346"/>
    <n v="925.52552552552572"/>
    <n v="181.08108108108109"/>
    <n v="12132432.432432434"/>
  </r>
  <r>
    <x v="3"/>
    <x v="1"/>
    <n v="280"/>
    <n v="245"/>
    <n v="33000"/>
    <n v="5000"/>
    <n v="17.857142857142858"/>
    <n v="5.6"/>
    <n v="0.875"/>
    <n v="0.125"/>
    <n v="1077.5510204081634"/>
    <n v="134.69387755102042"/>
    <n v="4444897.9591836743"/>
  </r>
  <r>
    <x v="3"/>
    <x v="2"/>
    <n v="180"/>
    <n v="165"/>
    <n v="26000"/>
    <n v="3000"/>
    <n v="16.666666666666668"/>
    <n v="7.666666666666667"/>
    <n v="0.91666666666666663"/>
    <n v="8.333333333333337E-2"/>
    <n v="1890.9090909090899"/>
    <n v="157.57575757575756"/>
    <n v="4096969.6969696968"/>
  </r>
  <r>
    <x v="4"/>
    <x v="0"/>
    <n v="490"/>
    <n v="395"/>
    <n v="72000"/>
    <n v="13500"/>
    <n v="27.551020408163264"/>
    <n v="4.333333333333333"/>
    <n v="0.80612244897959184"/>
    <n v="0.19387755102040816"/>
    <n v="940.17321785476349"/>
    <n v="182.27848101265823"/>
    <n v="13124050.632911393"/>
  </r>
  <r>
    <x v="4"/>
    <x v="1"/>
    <n v="300"/>
    <n v="265"/>
    <n v="36000"/>
    <n v="5200"/>
    <n v="17.333333333333332"/>
    <n v="5.9230769230769234"/>
    <n v="0.8833333333333333"/>
    <n v="0.1166666666666667"/>
    <n v="1164.420485175202"/>
    <n v="135.84905660377359"/>
    <n v="4890566.0377358496"/>
  </r>
  <r>
    <x v="4"/>
    <x v="2"/>
    <n v="200"/>
    <n v="185"/>
    <n v="29000"/>
    <n v="3200"/>
    <n v="16"/>
    <n v="8.0625"/>
    <n v="0.92500000000000004"/>
    <n v="7.4999999999999956E-2"/>
    <n v="2090.0900900900911"/>
    <n v="156.75675675675674"/>
    <n v="4545945.9459459456"/>
  </r>
  <r>
    <x v="5"/>
    <x v="0"/>
    <n v="520"/>
    <n v="420"/>
    <n v="78000"/>
    <n v="14000"/>
    <n v="26.923076923076923"/>
    <n v="4.5714285714285712"/>
    <n v="0.80769230769230771"/>
    <n v="0.19230769230769229"/>
    <n v="965.71428571428578"/>
    <n v="185.71428571428572"/>
    <n v="14485714.285714285"/>
  </r>
  <r>
    <x v="5"/>
    <x v="1"/>
    <n v="320"/>
    <n v="280"/>
    <n v="39000"/>
    <n v="5500"/>
    <n v="17.1875"/>
    <n v="6.0909090909090908"/>
    <n v="0.875"/>
    <n v="0.125"/>
    <n v="1114.2857142857142"/>
    <n v="139.28571428571428"/>
    <n v="5432142.8571428573"/>
  </r>
  <r>
    <x v="5"/>
    <x v="2"/>
    <n v="210"/>
    <n v="190"/>
    <n v="30000"/>
    <n v="3400"/>
    <n v="16.19047619047619"/>
    <n v="7.8235294117647056"/>
    <n v="0.90476190476190477"/>
    <n v="9.5238095238095233E-2"/>
    <n v="1657.8947368421052"/>
    <n v="157.89473684210526"/>
    <n v="4736842.1052631577"/>
  </r>
  <r>
    <x v="6"/>
    <x v="0"/>
    <n v="540"/>
    <n v="440"/>
    <n v="83000"/>
    <n v="14500"/>
    <n v="26.851851851851851"/>
    <n v="4.7241379310344831"/>
    <n v="0.81481481481481477"/>
    <n v="0.18518518518518523"/>
    <n v="1018.6363636363633"/>
    <n v="188.63636363636363"/>
    <n v="15656818.181818182"/>
  </r>
  <r>
    <x v="6"/>
    <x v="1"/>
    <n v="340"/>
    <n v="295"/>
    <n v="42000"/>
    <n v="5800"/>
    <n v="17.058823529411764"/>
    <n v="6.2413793103448274"/>
    <n v="0.86764705882352944"/>
    <n v="0.13235294117647056"/>
    <n v="1075.7062146892658"/>
    <n v="142.37288135593221"/>
    <n v="5979661.0169491526"/>
  </r>
  <r>
    <x v="6"/>
    <x v="2"/>
    <n v="220"/>
    <n v="200"/>
    <n v="32000"/>
    <n v="3600"/>
    <n v="16.363636363636363"/>
    <n v="7.8888888888888893"/>
    <n v="0.90909090909090906"/>
    <n v="9.0909090909090939E-2"/>
    <n v="1759.9999999999995"/>
    <n v="160"/>
    <n v="5120000"/>
  </r>
  <r>
    <x v="7"/>
    <x v="0"/>
    <n v="560"/>
    <n v="455"/>
    <n v="87000"/>
    <n v="15000"/>
    <n v="26.785714285714285"/>
    <n v="4.8"/>
    <n v="0.8125"/>
    <n v="0.1875"/>
    <n v="1019.7802197802198"/>
    <n v="191.20879120879121"/>
    <n v="16635164.835164836"/>
  </r>
  <r>
    <x v="7"/>
    <x v="1"/>
    <n v="360"/>
    <n v="305"/>
    <n v="44000"/>
    <n v="6000"/>
    <n v="16.666666666666668"/>
    <n v="6.333333333333333"/>
    <n v="0.84722222222222221"/>
    <n v="0.15277777777777779"/>
    <n v="944.26229508196707"/>
    <n v="144.26229508196721"/>
    <n v="6347540.9836065574"/>
  </r>
  <r>
    <x v="7"/>
    <x v="2"/>
    <n v="240"/>
    <n v="215"/>
    <n v="34000"/>
    <n v="3800"/>
    <n v="15.833333333333334"/>
    <n v="7.9473684210526319"/>
    <n v="0.89583333333333337"/>
    <n v="0.10416666666666663"/>
    <n v="1518.1395348837214"/>
    <n v="158.13953488372093"/>
    <n v="5376744.1860465119"/>
  </r>
  <r>
    <x v="8"/>
    <x v="0"/>
    <n v="580"/>
    <n v="470"/>
    <n v="90000"/>
    <n v="15200"/>
    <n v="26.206896551724139"/>
    <n v="4.9210526315789478"/>
    <n v="0.81034482758620685"/>
    <n v="0.18965517241379315"/>
    <n v="1009.6711798839457"/>
    <n v="191.48936170212767"/>
    <n v="17234042.55319149"/>
  </r>
  <r>
    <x v="8"/>
    <x v="1"/>
    <n v="370"/>
    <n v="310"/>
    <n v="46000"/>
    <n v="6200"/>
    <n v="16.756756756756758"/>
    <n v="6.419354838709677"/>
    <n v="0.83783783783783783"/>
    <n v="0.16216216216216217"/>
    <n v="915.05376344086005"/>
    <n v="148.38709677419354"/>
    <n v="6825806.4516129028"/>
  </r>
  <r>
    <x v="8"/>
    <x v="2"/>
    <n v="250"/>
    <n v="225"/>
    <n v="36000"/>
    <n v="4000"/>
    <n v="16"/>
    <n v="8"/>
    <n v="0.9"/>
    <n v="9.9999999999999978E-2"/>
    <n v="1600.0000000000002"/>
    <n v="160"/>
    <n v="5760000"/>
  </r>
  <r>
    <x v="9"/>
    <x v="0"/>
    <n v="600"/>
    <n v="490"/>
    <n v="94000"/>
    <n v="15500"/>
    <n v="25.833333333333332"/>
    <n v="5.064516129032258"/>
    <n v="0.81666666666666665"/>
    <n v="0.18333333333333335"/>
    <n v="1046.3821892393321"/>
    <n v="191.83673469387756"/>
    <n v="18032653.06122449"/>
  </r>
  <r>
    <x v="9"/>
    <x v="1"/>
    <n v="380"/>
    <n v="320"/>
    <n v="48000"/>
    <n v="6300"/>
    <n v="16.578947368421051"/>
    <n v="6.6190476190476186"/>
    <n v="0.84210526315789469"/>
    <n v="0.15789473684210531"/>
    <n v="949.99999999999966"/>
    <n v="150"/>
    <n v="7200000"/>
  </r>
  <r>
    <x v="9"/>
    <x v="2"/>
    <n v="260"/>
    <n v="235"/>
    <n v="37000"/>
    <n v="4100"/>
    <n v="15.76923076923077"/>
    <n v="8.0243902439024382"/>
    <n v="0.90384615384615385"/>
    <n v="9.6153846153846145E-2"/>
    <n v="1637.4468085106384"/>
    <n v="157.44680851063831"/>
    <n v="5825531.9148936169"/>
  </r>
  <r>
    <x v="10"/>
    <x v="0"/>
    <n v="610"/>
    <n v="500"/>
    <n v="96000"/>
    <n v="15600"/>
    <n v="25.57377049180328"/>
    <n v="5.1538461538461542"/>
    <n v="0.81967213114754101"/>
    <n v="0.18032786885245899"/>
    <n v="1064.7272727272727"/>
    <n v="192"/>
    <n v="18432000"/>
  </r>
  <r>
    <x v="10"/>
    <x v="1"/>
    <n v="390"/>
    <n v="330"/>
    <n v="50000"/>
    <n v="6400"/>
    <n v="16.410256410256409"/>
    <n v="6.8125"/>
    <n v="0.84615384615384615"/>
    <n v="0.15384615384615385"/>
    <n v="984.84848484848476"/>
    <n v="151.5151515151515"/>
    <n v="7575757.5757575752"/>
  </r>
  <r>
    <x v="10"/>
    <x v="2"/>
    <n v="270"/>
    <n v="245"/>
    <n v="38000"/>
    <n v="4200"/>
    <n v="15.555555555555555"/>
    <n v="8.0476190476190474"/>
    <n v="0.90740740740740744"/>
    <n v="9.259259259259256E-2"/>
    <n v="1675.1020408163272"/>
    <n v="155.10204081632654"/>
    <n v="5893877.551020408"/>
  </r>
  <r>
    <x v="11"/>
    <x v="0"/>
    <n v="630"/>
    <n v="520"/>
    <n v="99000"/>
    <n v="16000"/>
    <n v="25.396825396825395"/>
    <n v="5.1875"/>
    <n v="0.82539682539682535"/>
    <n v="0.17460317460317465"/>
    <n v="1090.384615384615"/>
    <n v="190.38461538461539"/>
    <n v="18848076.923076924"/>
  </r>
  <r>
    <x v="11"/>
    <x v="1"/>
    <n v="400"/>
    <n v="340"/>
    <n v="52000"/>
    <n v="6500"/>
    <n v="16.25"/>
    <n v="7"/>
    <n v="0.85"/>
    <n v="0.15000000000000002"/>
    <n v="1019.6078431372548"/>
    <n v="152.94117647058823"/>
    <n v="7952941.176470588"/>
  </r>
  <r>
    <x v="11"/>
    <x v="2"/>
    <n v="280"/>
    <n v="255"/>
    <n v="40000"/>
    <n v="4300"/>
    <n v="15.357142857142858"/>
    <n v="8.3023255813953494"/>
    <n v="0.9107142857142857"/>
    <n v="8.9285714285714302E-2"/>
    <n v="1756.8627450980389"/>
    <n v="156.86274509803923"/>
    <n v="6274509.80392156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4476CA-BBCF-4E7B-9398-6B4C31530533}" name="PivotTable10" cacheId="1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 rowHeaderCaption="Channel">
  <location ref="H3:J7" firstHeaderRow="0" firstDataRow="1" firstDataCol="1" rowPageCount="1" colPageCount="1"/>
  <pivotFields count="13">
    <pivotField axis="axisPage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3" showAll="0"/>
    <pivotField numFmtId="3" showAll="0"/>
    <pivotField numFmtId="2" showAll="0"/>
    <pivotField numFmtId="10" showAll="0"/>
    <pivotField numFmtId="2" showAll="0"/>
    <pivotField dataField="1" numFmtId="2" showAll="0"/>
    <pivotField numFmtId="164" showAll="0"/>
    <pivotField numFmtId="164" showAll="0"/>
    <pivotField numFmtId="164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Revenue" fld="4" baseField="0" baseItem="0" numFmtId="3"/>
    <dataField name="Sum of Churn Rate" fld="9" baseField="0" baseItem="0" numFmtId="2"/>
  </dataFields>
  <chartFormats count="9">
    <chartFormat chart="1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0E194-5110-4CB8-9B17-C59ECDAA3F2E}" name="PivotTable9" cacheId="1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 rowHeaderCaption="Month">
  <location ref="A3:C8" firstHeaderRow="0" firstDataRow="1" firstDataCol="1" rowPageCount="1" colPageCount="1"/>
  <pivotFields count="13">
    <pivotField axis="axisRow" showAll="0">
      <items count="13">
        <item x="0"/>
        <item x="1"/>
        <item x="2"/>
        <item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showAll="0"/>
    <pivotField dataField="1" showAll="0"/>
    <pivotField numFmtId="3" showAll="0"/>
    <pivotField numFmtId="3" showAll="0"/>
    <pivotField numFmtId="2" showAll="0"/>
    <pivotField numFmtId="10" showAll="0"/>
    <pivotField numFmtId="2" showAll="0"/>
    <pivotField numFmtId="2" showAll="0"/>
    <pivotField numFmtId="164" showAll="0"/>
    <pivotField numFmtId="164" showAll="0"/>
    <pivotField numFmtId="16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Active Users" fld="3" baseField="0" baseItem="0"/>
    <dataField name="Sum of New Users" fld="2" baseField="0" baseItem="0"/>
  </dataFields>
  <chartFormats count="4">
    <chartFormat chart="1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CA826C-A3B0-45E1-987C-A6E42170B91F}" name="PivotTable13" cacheId="1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2:K35" firstHeaderRow="0" firstDataRow="1" firstDataCol="1" rowPageCount="1" colPageCount="1"/>
  <pivotFields count="1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numFmtId="3" showAll="0"/>
    <pivotField dataField="1" numFmtId="3" showAll="0"/>
    <pivotField dataField="1" numFmtId="2" showAll="0"/>
    <pivotField dataField="1" numFmtId="10" showAll="0"/>
    <pivotField numFmtId="2" showAll="0"/>
    <pivotField dataField="1" numFmtId="2" showAll="0"/>
    <pivotField dataField="1" numFmtId="164" showAll="0"/>
    <pivotField numFmtId="164" showAll="0"/>
    <pivotField dataField="1" numFmtId="164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1" hier="-1"/>
  </pageFields>
  <dataFields count="9">
    <dataField name="Sum of Revenue" fld="4" baseField="0" baseItem="0" numFmtId="3"/>
    <dataField name="Sum of Active Users" fld="3" baseField="0" baseItem="0"/>
    <dataField name="Sum of New Users" fld="2" baseField="0" baseItem="0"/>
    <dataField name="Sum of Marketing Spend" fld="5" baseField="0" baseItem="0" numFmtId="3"/>
    <dataField name="Sum of Churn Rate" fld="9" baseField="0" baseItem="0" numFmtId="2"/>
    <dataField name="Sum of CAC" fld="6" baseField="0" baseItem="0" numFmtId="2"/>
    <dataField name="Sum of ROI" fld="7" baseField="0" baseItem="0" numFmtId="10"/>
    <dataField name="Sum of LTV" fld="10" baseField="0" baseItem="0" numFmtId="164"/>
    <dataField name="Sum of MRR" fld="12" baseField="0" baseItem="0" numFmtId="164"/>
  </dataField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110660-E2F9-44D0-8F88-1186156C3777}" name="PivotTable12" cacheId="1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6" rowHeaderCaption="Channel">
  <location ref="H13:J17" firstHeaderRow="0" firstDataRow="1" firstDataCol="1" rowPageCount="1" colPageCount="1"/>
  <pivotFields count="13">
    <pivotField axis="axisPage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3" showAll="0"/>
    <pivotField dataField="1" numFmtId="3" showAll="0"/>
    <pivotField numFmtId="2" showAll="0"/>
    <pivotField dataField="1" numFmtId="10" showAll="0"/>
    <pivotField numFmtId="2" showAll="0"/>
    <pivotField numFmtId="2" showAll="0"/>
    <pivotField numFmtId="164" showAll="0"/>
    <pivotField numFmtId="164" showAll="0"/>
    <pivotField numFmtId="164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Marketing Spend" fld="5" baseField="0" baseItem="0" numFmtId="3"/>
    <dataField name="Sum of ROI" fld="7" baseField="0" baseItem="0" numFmtId="10"/>
  </dataFields>
  <chartFormats count="13">
    <chartFormat chart="2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3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3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3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5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D811EEF-2B75-4256-B19B-7C3949005BF5}" name="Metrics" displayName="Metrics" ref="C4:O40" totalsRowShown="0" headerRowDxfId="44" dataDxfId="43">
  <autoFilter ref="C4:O40" xr:uid="{1D811EEF-2B75-4256-B19B-7C3949005BF5}"/>
  <tableColumns count="13">
    <tableColumn id="1" xr3:uid="{8DE6A5A9-7824-4418-9DA4-A46C0E267ED0}" name="Month" dataDxfId="42"/>
    <tableColumn id="2" xr3:uid="{0EE7877A-A882-4909-A771-07EBF7501754}" name="Channel" dataDxfId="41" dataCellStyle="Calculation"/>
    <tableColumn id="3" xr3:uid="{B0B0316D-B8DE-4743-867D-EA56F5B844D8}" name="New Users" dataDxfId="40" dataCellStyle="Calculation"/>
    <tableColumn id="4" xr3:uid="{07296817-A226-4E0E-83D3-9CB3F1D655CD}" name="Active Users" dataDxfId="39" dataCellStyle="Calculation"/>
    <tableColumn id="5" xr3:uid="{2082E9D9-DEA6-434C-932E-2201ED12ABE1}" name="Revenue" dataDxfId="38" dataCellStyle="Calculation"/>
    <tableColumn id="6" xr3:uid="{6050837C-F848-48CD-8384-E370A6A62899}" name="Marketing Spend" dataDxfId="37" dataCellStyle="Calculation"/>
    <tableColumn id="7" xr3:uid="{15CAFECC-3817-41B3-9A79-C33FB6271219}" name="CAC" dataDxfId="36" dataCellStyle="Calculation">
      <calculatedColumnFormula>IFERROR(H5/E5,0)</calculatedColumnFormula>
    </tableColumn>
    <tableColumn id="8" xr3:uid="{927CFF1D-F630-47B9-ABB2-82FA567E3722}" name="ROI" dataDxfId="35" dataCellStyle="Calculation">
      <calculatedColumnFormula>(G5-H5)/H5</calculatedColumnFormula>
    </tableColumn>
    <tableColumn id="9" xr3:uid="{B925BC26-110D-402C-825D-55CA3E9A23C6}" name="Retention Rate" dataDxfId="34" dataCellStyle="Calculation">
      <calculatedColumnFormula>IFERROR(F5/E5,0)</calculatedColumnFormula>
    </tableColumn>
    <tableColumn id="10" xr3:uid="{553BDAAE-0218-4B25-BBE2-168C6528F433}" name="Churn Rate" dataDxfId="33" dataCellStyle="Calculation">
      <calculatedColumnFormula>1-K5</calculatedColumnFormula>
    </tableColumn>
    <tableColumn id="11" xr3:uid="{B5BBC82E-D417-489F-8F96-026F7EA96CA9}" name="LTV" dataDxfId="32" dataCellStyle="Calculation">
      <calculatedColumnFormula>IFERROR(Metrics[[#This Row],[Revenue]]/Metrics[[#This Row],[Active Users]]*(1/Metrics[[#This Row],[Churn Rate]]),0)</calculatedColumnFormula>
    </tableColumn>
    <tableColumn id="12" xr3:uid="{49B2A612-1E29-4747-998A-0ADA3E4850B4}" name="ARPU" dataDxfId="31" dataCellStyle="Calculation">
      <calculatedColumnFormula>IFERROR(Metrics[[#This Row],[Revenue]]/Metrics[[#This Row],[Active Users]],0)</calculatedColumnFormula>
    </tableColumn>
    <tableColumn id="13" xr3:uid="{93A2A1F4-6A7C-4A4E-8E41-C0E6B9A5BDD8}" name="MRR" dataDxfId="30" dataCellStyle="Calculation">
      <calculatedColumnFormula>G5*N5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54E1F9-1108-4090-83E7-66DB7705DD57}" name="Monthy_Metrics" displayName="Monthy_Metrics" ref="C4:L16" totalsRowShown="0" headerRowDxfId="29" headerRowCellStyle="Calculation" dataCellStyle="Calculation">
  <autoFilter ref="C4:L16" xr:uid="{9654E1F9-1108-4090-83E7-66DB7705DD57}"/>
  <tableColumns count="10">
    <tableColumn id="1" xr3:uid="{9E1849EA-DF2F-4543-8073-7820239EDC3C}" name="Month" dataDxfId="28" dataCellStyle="Calculation"/>
    <tableColumn id="2" xr3:uid="{786A2C3A-2727-45D1-ACFA-8C20A4867B05}" name="New Users" dataCellStyle="Calculation"/>
    <tableColumn id="3" xr3:uid="{33DCE203-C292-4E51-9FD7-5F3D9988D549}" name="Active Users" dataCellStyle="Calculation"/>
    <tableColumn id="4" xr3:uid="{F692695E-5EE0-4226-8CD6-B01BCED85B9D}" name="Revenue" dataDxfId="27" dataCellStyle="Calculation"/>
    <tableColumn id="5" xr3:uid="{62DEE335-66CC-4A08-96E0-D4EEE5B300E1}" name="Marketing Spend" dataDxfId="26" dataCellStyle="Calculation"/>
    <tableColumn id="6" xr3:uid="{05A3D453-5848-43ED-BD32-411E5AFEACA2}" name="CAC" dataDxfId="25" dataCellStyle="Calculation">
      <calculatedColumnFormula>IFERROR(G5/D5,0)</calculatedColumnFormula>
    </tableColumn>
    <tableColumn id="7" xr3:uid="{81FFF859-BB16-4577-8C2C-696C7D962496}" name="ROI" dataDxfId="24" dataCellStyle="Calculation">
      <calculatedColumnFormula>IFERROR((F5-G5)/G5,0)</calculatedColumnFormula>
    </tableColumn>
    <tableColumn id="8" xr3:uid="{ABFAAA1A-505E-46EF-9E21-841C9395A4F1}" name="Retention Rate" dataDxfId="23" dataCellStyle="Calculation">
      <calculatedColumnFormula>IFERROR(E5/D5,0)</calculatedColumnFormula>
    </tableColumn>
    <tableColumn id="9" xr3:uid="{B89BCB9E-F737-4B5D-BA18-9D80A2925E37}" name="Churn Rate" dataDxfId="22" dataCellStyle="Calculation">
      <calculatedColumnFormula>IFERROR(1-J5,0)</calculatedColumnFormula>
    </tableColumn>
    <tableColumn id="10" xr3:uid="{6D88C9D7-6BBD-4367-9A18-39BC66A17E6B}" name="LTV" dataDxfId="21" dataCellStyle="Calculation">
      <calculatedColumnFormula>Monthy_Metrics[[#This Row],[Revenue]]/Monthy_Metrics[[#This Row],[Active Users]]*(1/(Monthy_Metrics[[#This Row],[Churn Rate]]))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9856A0-F0B8-4708-9040-62209FDFD0B7}" name="Table3" displayName="Table3" ref="C4:F8" totalsRowShown="0" headerRowDxfId="18">
  <autoFilter ref="C4:F8" xr:uid="{E39856A0-F0B8-4708-9040-62209FDFD0B7}"/>
  <tableColumns count="4">
    <tableColumn id="1" xr3:uid="{7F3B716E-DA40-495C-8219-11B7487B8B2A}" name="Metric" dataDxfId="17"/>
    <tableColumn id="2" xr3:uid="{6444DCA3-C2C8-4562-9823-792FF0DB6C12}" name="Current"/>
    <tableColumn id="3" xr3:uid="{836BAD95-82AE-4230-A843-7EFAE2EFEDC5}" name="Previous"/>
    <tableColumn id="4" xr3:uid="{EF7E660B-A8B1-413F-96FC-3196E5886073}" name="% Change" dataDxfId="16">
      <calculatedColumnFormula>(D5-E5)/E5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91220-E546-44B2-B701-462FFE601106}">
  <dimension ref="B4:U33"/>
  <sheetViews>
    <sheetView showGridLines="0" workbookViewId="0">
      <selection activeCell="J37" sqref="J37"/>
    </sheetView>
  </sheetViews>
  <sheetFormatPr defaultRowHeight="14.45"/>
  <sheetData>
    <row r="4" spans="2:21" ht="15" thickBot="1"/>
    <row r="5" spans="2:21" ht="15" thickTop="1">
      <c r="B5" s="76" t="s">
        <v>0</v>
      </c>
      <c r="C5" s="77"/>
      <c r="D5" s="78"/>
    </row>
    <row r="6" spans="2:21" ht="15" thickBot="1">
      <c r="B6" s="79"/>
      <c r="C6" s="80"/>
      <c r="D6" s="81"/>
    </row>
    <row r="7" spans="2:21" ht="15.6" thickTop="1" thickBot="1"/>
    <row r="8" spans="2:21" ht="15" thickTop="1">
      <c r="B8" s="67" t="s">
        <v>1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9"/>
    </row>
    <row r="9" spans="2:21">
      <c r="B9" s="70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2"/>
    </row>
    <row r="10" spans="2:21">
      <c r="B10" s="70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2"/>
    </row>
    <row r="11" spans="2:21" ht="15" thickBot="1">
      <c r="B11" s="73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5"/>
    </row>
    <row r="12" spans="2:21" ht="15" thickTop="1"/>
    <row r="14" spans="2:21" ht="15" thickBot="1"/>
    <row r="15" spans="2:21" ht="14.45" customHeight="1" thickTop="1">
      <c r="B15" s="82" t="s">
        <v>2</v>
      </c>
      <c r="C15" s="83"/>
      <c r="D15" s="83"/>
      <c r="E15" s="84"/>
    </row>
    <row r="16" spans="2:21" ht="14.45" customHeight="1" thickBot="1">
      <c r="B16" s="85"/>
      <c r="C16" s="86"/>
      <c r="D16" s="86"/>
      <c r="E16" s="87"/>
    </row>
    <row r="17" spans="2:21" ht="15.6" thickTop="1" thickBot="1"/>
    <row r="18" spans="2:21" ht="15" thickTop="1">
      <c r="B18" s="67" t="s">
        <v>3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9"/>
    </row>
    <row r="19" spans="2:21" ht="14.45" customHeight="1">
      <c r="B19" s="70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2"/>
    </row>
    <row r="20" spans="2:21" ht="14.45" customHeight="1">
      <c r="B20" s="70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2"/>
    </row>
    <row r="21" spans="2:21" ht="14.45" customHeight="1">
      <c r="B21" s="70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2"/>
    </row>
    <row r="22" spans="2:21" ht="14.45" customHeight="1">
      <c r="B22" s="70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2"/>
    </row>
    <row r="23" spans="2:21" ht="14.45" customHeight="1">
      <c r="B23" s="70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2"/>
    </row>
    <row r="24" spans="2:21" ht="14.45" customHeight="1">
      <c r="B24" s="70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2"/>
    </row>
    <row r="25" spans="2:21" ht="14.45" customHeight="1">
      <c r="B25" s="70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2"/>
    </row>
    <row r="26" spans="2:21" ht="14.45" customHeight="1">
      <c r="B26" s="70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2"/>
    </row>
    <row r="27" spans="2:21" ht="14.45" customHeight="1">
      <c r="B27" s="70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2"/>
    </row>
    <row r="28" spans="2:21" ht="14.45" customHeight="1" thickBot="1">
      <c r="B28" s="73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5"/>
    </row>
    <row r="29" spans="2:21" ht="14.45" customHeight="1" thickTop="1"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</row>
    <row r="30" spans="2:21" ht="14.45" customHeight="1"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</row>
    <row r="31" spans="2:21" ht="14.45" customHeight="1"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</row>
    <row r="32" spans="2:21" ht="14.45" customHeight="1"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</row>
    <row r="33" spans="2:21" ht="14.45" customHeight="1"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</row>
  </sheetData>
  <mergeCells count="4">
    <mergeCell ref="B18:U28"/>
    <mergeCell ref="B5:D6"/>
    <mergeCell ref="B8:U11"/>
    <mergeCell ref="B15:E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8382-392A-47F1-94D5-2BF933F4A5F8}">
  <dimension ref="C4:O42"/>
  <sheetViews>
    <sheetView tabSelected="1" workbookViewId="0">
      <selection activeCell="K2" sqref="K2"/>
    </sheetView>
  </sheetViews>
  <sheetFormatPr defaultRowHeight="14.45"/>
  <cols>
    <col min="3" max="3" width="17.140625" customWidth="1"/>
    <col min="4" max="4" width="14" customWidth="1"/>
    <col min="5" max="5" width="15.28515625" customWidth="1"/>
    <col min="6" max="6" width="22.28515625" customWidth="1"/>
    <col min="7" max="7" width="14.42578125" customWidth="1"/>
    <col min="8" max="8" width="24.28515625" customWidth="1"/>
    <col min="9" max="9" width="15.7109375" customWidth="1"/>
    <col min="10" max="10" width="11.5703125" customWidth="1"/>
    <col min="11" max="11" width="17.28515625" customWidth="1"/>
    <col min="12" max="12" width="16.7109375" customWidth="1"/>
    <col min="13" max="13" width="10.42578125" bestFit="1" customWidth="1"/>
    <col min="14" max="14" width="9" bestFit="1" customWidth="1"/>
    <col min="15" max="15" width="15.140625" bestFit="1" customWidth="1"/>
  </cols>
  <sheetData>
    <row r="4" spans="3:15">
      <c r="C4" s="1" t="s">
        <v>4</v>
      </c>
      <c r="D4" s="53" t="s">
        <v>5</v>
      </c>
      <c r="E4" s="53" t="s">
        <v>6</v>
      </c>
      <c r="F4" s="53" t="s">
        <v>7</v>
      </c>
      <c r="G4" s="53" t="s">
        <v>8</v>
      </c>
      <c r="H4" s="53" t="s">
        <v>9</v>
      </c>
      <c r="I4" s="53" t="s">
        <v>10</v>
      </c>
      <c r="J4" s="53" t="s">
        <v>11</v>
      </c>
      <c r="K4" s="53" t="s">
        <v>12</v>
      </c>
      <c r="L4" s="53" t="s">
        <v>13</v>
      </c>
      <c r="M4" s="53" t="s">
        <v>14</v>
      </c>
      <c r="N4" s="53" t="s">
        <v>15</v>
      </c>
      <c r="O4" s="53" t="s">
        <v>16</v>
      </c>
    </row>
    <row r="5" spans="3:15">
      <c r="C5" s="3" t="s">
        <v>17</v>
      </c>
      <c r="D5" s="54" t="s">
        <v>18</v>
      </c>
      <c r="E5" s="54">
        <v>320</v>
      </c>
      <c r="F5" s="54">
        <v>250</v>
      </c>
      <c r="G5" s="55">
        <v>45000</v>
      </c>
      <c r="H5" s="55">
        <v>10000</v>
      </c>
      <c r="I5" s="55">
        <f>IFERROR(H5/E5,0)</f>
        <v>31.25</v>
      </c>
      <c r="J5" s="56">
        <f>(G5-H5)/H5</f>
        <v>3.5</v>
      </c>
      <c r="K5" s="57">
        <f>IFERROR(F5/E5,0)</f>
        <v>0.78125</v>
      </c>
      <c r="L5" s="57">
        <f>1-K5</f>
        <v>0.21875</v>
      </c>
      <c r="M5" s="55">
        <f>IFERROR(Metrics[[#This Row],[Revenue]]/Metrics[[#This Row],[Active Users]]*(1/Metrics[[#This Row],[Churn Rate]]),0)</f>
        <v>822.85714285714278</v>
      </c>
      <c r="N5" s="55">
        <f>IFERROR(Metrics[[#This Row],[Revenue]]/Metrics[[#This Row],[Active Users]],0)</f>
        <v>180</v>
      </c>
      <c r="O5" s="55">
        <f t="shared" ref="O5:O40" si="0">G5*N5</f>
        <v>8100000</v>
      </c>
    </row>
    <row r="6" spans="3:15">
      <c r="C6" s="4" t="s">
        <v>17</v>
      </c>
      <c r="D6" s="54" t="s">
        <v>19</v>
      </c>
      <c r="E6" s="54">
        <v>180</v>
      </c>
      <c r="F6" s="54">
        <v>150</v>
      </c>
      <c r="G6" s="55">
        <v>22000</v>
      </c>
      <c r="H6" s="55">
        <v>4000</v>
      </c>
      <c r="I6" s="55">
        <f t="shared" ref="I6:I40" si="1">IFERROR(H6/E6,0)</f>
        <v>22.222222222222221</v>
      </c>
      <c r="J6" s="56">
        <f t="shared" ref="J6:J40" si="2">(G6-H6)/H6</f>
        <v>4.5</v>
      </c>
      <c r="K6" s="57">
        <f t="shared" ref="K6:K40" si="3">IFERROR(F6/E6,0)</f>
        <v>0.83333333333333337</v>
      </c>
      <c r="L6" s="57">
        <f t="shared" ref="L6:L40" si="4">1-K6</f>
        <v>0.16666666666666663</v>
      </c>
      <c r="M6" s="55">
        <f>IFERROR(Metrics[[#This Row],[Revenue]]/Metrics[[#This Row],[Active Users]]*(1/Metrics[[#This Row],[Churn Rate]]),0)</f>
        <v>880.00000000000023</v>
      </c>
      <c r="N6" s="55">
        <f>IFERROR(Metrics[[#This Row],[Revenue]]/Metrics[[#This Row],[Active Users]],0)</f>
        <v>146.66666666666666</v>
      </c>
      <c r="O6" s="55">
        <f t="shared" si="0"/>
        <v>3226666.6666666665</v>
      </c>
    </row>
    <row r="7" spans="3:15">
      <c r="C7" s="3" t="s">
        <v>17</v>
      </c>
      <c r="D7" s="54" t="s">
        <v>20</v>
      </c>
      <c r="E7" s="54">
        <v>100</v>
      </c>
      <c r="F7" s="54">
        <v>95</v>
      </c>
      <c r="G7" s="55">
        <v>18000</v>
      </c>
      <c r="H7" s="55">
        <v>2000</v>
      </c>
      <c r="I7" s="55">
        <f t="shared" si="1"/>
        <v>20</v>
      </c>
      <c r="J7" s="56">
        <f t="shared" si="2"/>
        <v>8</v>
      </c>
      <c r="K7" s="57">
        <f t="shared" si="3"/>
        <v>0.95</v>
      </c>
      <c r="L7" s="57">
        <f t="shared" si="4"/>
        <v>5.0000000000000044E-2</v>
      </c>
      <c r="M7" s="55">
        <f>IFERROR(Metrics[[#This Row],[Revenue]]/Metrics[[#This Row],[Active Users]]*(1/Metrics[[#This Row],[Churn Rate]]),0)</f>
        <v>3789.4736842105231</v>
      </c>
      <c r="N7" s="55">
        <f>IFERROR(Metrics[[#This Row],[Revenue]]/Metrics[[#This Row],[Active Users]],0)</f>
        <v>189.47368421052633</v>
      </c>
      <c r="O7" s="55">
        <f t="shared" si="0"/>
        <v>3410526.3157894737</v>
      </c>
    </row>
    <row r="8" spans="3:15">
      <c r="C8" s="4" t="s">
        <v>21</v>
      </c>
      <c r="D8" s="54" t="s">
        <v>18</v>
      </c>
      <c r="E8" s="54">
        <v>400</v>
      </c>
      <c r="F8" s="54">
        <v>310</v>
      </c>
      <c r="G8" s="55">
        <v>56000</v>
      </c>
      <c r="H8" s="55">
        <v>12000</v>
      </c>
      <c r="I8" s="55">
        <f t="shared" si="1"/>
        <v>30</v>
      </c>
      <c r="J8" s="56">
        <f t="shared" si="2"/>
        <v>3.6666666666666665</v>
      </c>
      <c r="K8" s="57">
        <f t="shared" si="3"/>
        <v>0.77500000000000002</v>
      </c>
      <c r="L8" s="57">
        <f t="shared" si="4"/>
        <v>0.22499999999999998</v>
      </c>
      <c r="M8" s="55">
        <f>IFERROR(Metrics[[#This Row],[Revenue]]/Metrics[[#This Row],[Active Users]]*(1/Metrics[[#This Row],[Churn Rate]]),0)</f>
        <v>802.86738351254485</v>
      </c>
      <c r="N8" s="55">
        <f>IFERROR(Metrics[[#This Row],[Revenue]]/Metrics[[#This Row],[Active Users]],0)</f>
        <v>180.64516129032259</v>
      </c>
      <c r="O8" s="55">
        <f>G8*N8</f>
        <v>10116129.032258065</v>
      </c>
    </row>
    <row r="9" spans="3:15">
      <c r="C9" s="3" t="s">
        <v>21</v>
      </c>
      <c r="D9" s="54" t="s">
        <v>19</v>
      </c>
      <c r="E9" s="54">
        <v>220</v>
      </c>
      <c r="F9" s="54">
        <v>190</v>
      </c>
      <c r="G9" s="55">
        <v>26000</v>
      </c>
      <c r="H9" s="55">
        <v>4500</v>
      </c>
      <c r="I9" s="55">
        <f t="shared" si="1"/>
        <v>20.454545454545453</v>
      </c>
      <c r="J9" s="56">
        <f t="shared" si="2"/>
        <v>4.7777777777777777</v>
      </c>
      <c r="K9" s="57">
        <f t="shared" si="3"/>
        <v>0.86363636363636365</v>
      </c>
      <c r="L9" s="57">
        <f t="shared" si="4"/>
        <v>0.13636363636363635</v>
      </c>
      <c r="M9" s="55">
        <f>IFERROR(Metrics[[#This Row],[Revenue]]/Metrics[[#This Row],[Active Users]]*(1/Metrics[[#This Row],[Churn Rate]]),0)</f>
        <v>1003.5087719298247</v>
      </c>
      <c r="N9" s="55">
        <f>IFERROR(Metrics[[#This Row],[Revenue]]/Metrics[[#This Row],[Active Users]],0)</f>
        <v>136.84210526315789</v>
      </c>
      <c r="O9" s="55">
        <f t="shared" si="0"/>
        <v>3557894.7368421052</v>
      </c>
    </row>
    <row r="10" spans="3:15">
      <c r="C10" s="4" t="s">
        <v>21</v>
      </c>
      <c r="D10" s="54" t="s">
        <v>20</v>
      </c>
      <c r="E10" s="54">
        <v>130</v>
      </c>
      <c r="F10" s="54">
        <v>120</v>
      </c>
      <c r="G10" s="55">
        <v>20000</v>
      </c>
      <c r="H10" s="55">
        <v>2500</v>
      </c>
      <c r="I10" s="55">
        <f t="shared" si="1"/>
        <v>19.23076923076923</v>
      </c>
      <c r="J10" s="56">
        <f t="shared" si="2"/>
        <v>7</v>
      </c>
      <c r="K10" s="57">
        <f t="shared" si="3"/>
        <v>0.92307692307692313</v>
      </c>
      <c r="L10" s="57">
        <f t="shared" si="4"/>
        <v>7.6923076923076872E-2</v>
      </c>
      <c r="M10" s="55">
        <f>IFERROR(Metrics[[#This Row],[Revenue]]/Metrics[[#This Row],[Active Users]]*(1/Metrics[[#This Row],[Churn Rate]]),0)</f>
        <v>2166.6666666666679</v>
      </c>
      <c r="N10" s="55">
        <f>IFERROR(Metrics[[#This Row],[Revenue]]/Metrics[[#This Row],[Active Users]],0)</f>
        <v>166.66666666666666</v>
      </c>
      <c r="O10" s="55">
        <f t="shared" si="0"/>
        <v>3333333.333333333</v>
      </c>
    </row>
    <row r="11" spans="3:15">
      <c r="C11" s="3" t="s">
        <v>22</v>
      </c>
      <c r="D11" s="54" t="s">
        <v>18</v>
      </c>
      <c r="E11" s="54">
        <v>430</v>
      </c>
      <c r="F11" s="54">
        <v>340</v>
      </c>
      <c r="G11" s="55">
        <v>61000</v>
      </c>
      <c r="H11" s="55">
        <v>12500</v>
      </c>
      <c r="I11" s="55">
        <f t="shared" si="1"/>
        <v>29.069767441860463</v>
      </c>
      <c r="J11" s="56">
        <f t="shared" si="2"/>
        <v>3.88</v>
      </c>
      <c r="K11" s="57">
        <f t="shared" si="3"/>
        <v>0.79069767441860461</v>
      </c>
      <c r="L11" s="57">
        <f t="shared" si="4"/>
        <v>0.20930232558139539</v>
      </c>
      <c r="M11" s="55">
        <f>IFERROR(Metrics[[#This Row],[Revenue]]/Metrics[[#This Row],[Active Users]]*(1/Metrics[[#This Row],[Churn Rate]]),0)</f>
        <v>857.18954248365992</v>
      </c>
      <c r="N11" s="55">
        <f>IFERROR(Metrics[[#This Row],[Revenue]]/Metrics[[#This Row],[Active Users]],0)</f>
        <v>179.41176470588235</v>
      </c>
      <c r="O11" s="55">
        <f t="shared" si="0"/>
        <v>10944117.647058824</v>
      </c>
    </row>
    <row r="12" spans="3:15">
      <c r="C12" s="4" t="s">
        <v>22</v>
      </c>
      <c r="D12" s="54" t="s">
        <v>19</v>
      </c>
      <c r="E12" s="54">
        <v>250</v>
      </c>
      <c r="F12" s="54">
        <v>215</v>
      </c>
      <c r="G12" s="55">
        <v>29000</v>
      </c>
      <c r="H12" s="55">
        <v>4800</v>
      </c>
      <c r="I12" s="55">
        <f t="shared" si="1"/>
        <v>19.2</v>
      </c>
      <c r="J12" s="56">
        <f t="shared" si="2"/>
        <v>5.041666666666667</v>
      </c>
      <c r="K12" s="57">
        <f t="shared" si="3"/>
        <v>0.86</v>
      </c>
      <c r="L12" s="57">
        <f t="shared" si="4"/>
        <v>0.14000000000000001</v>
      </c>
      <c r="M12" s="55">
        <f>IFERROR(Metrics[[#This Row],[Revenue]]/Metrics[[#This Row],[Active Users]]*(1/Metrics[[#This Row],[Churn Rate]]),0)</f>
        <v>963.45514950166103</v>
      </c>
      <c r="N12" s="55">
        <f>IFERROR(Metrics[[#This Row],[Revenue]]/Metrics[[#This Row],[Active Users]],0)</f>
        <v>134.88372093023256</v>
      </c>
      <c r="O12" s="55">
        <f t="shared" si="0"/>
        <v>3911627.9069767441</v>
      </c>
    </row>
    <row r="13" spans="3:15">
      <c r="C13" s="3" t="s">
        <v>22</v>
      </c>
      <c r="D13" s="54" t="s">
        <v>20</v>
      </c>
      <c r="E13" s="54">
        <v>150</v>
      </c>
      <c r="F13" s="54">
        <v>140</v>
      </c>
      <c r="G13" s="55">
        <v>23000</v>
      </c>
      <c r="H13" s="55">
        <v>2700</v>
      </c>
      <c r="I13" s="55">
        <f t="shared" si="1"/>
        <v>18</v>
      </c>
      <c r="J13" s="56">
        <f t="shared" si="2"/>
        <v>7.5185185185185182</v>
      </c>
      <c r="K13" s="57">
        <f t="shared" si="3"/>
        <v>0.93333333333333335</v>
      </c>
      <c r="L13" s="57">
        <f t="shared" si="4"/>
        <v>6.6666666666666652E-2</v>
      </c>
      <c r="M13" s="55">
        <f>IFERROR(Metrics[[#This Row],[Revenue]]/Metrics[[#This Row],[Active Users]]*(1/Metrics[[#This Row],[Churn Rate]]),0)</f>
        <v>2464.2857142857147</v>
      </c>
      <c r="N13" s="55">
        <f>IFERROR(Metrics[[#This Row],[Revenue]]/Metrics[[#This Row],[Active Users]],0)</f>
        <v>164.28571428571428</v>
      </c>
      <c r="O13" s="55">
        <f t="shared" si="0"/>
        <v>3778571.4285714282</v>
      </c>
    </row>
    <row r="14" spans="3:15">
      <c r="C14" s="4" t="s">
        <v>23</v>
      </c>
      <c r="D14" s="54" t="s">
        <v>18</v>
      </c>
      <c r="E14" s="54">
        <v>460</v>
      </c>
      <c r="F14" s="54">
        <v>370</v>
      </c>
      <c r="G14" s="55">
        <v>67000</v>
      </c>
      <c r="H14" s="55">
        <v>13000</v>
      </c>
      <c r="I14" s="55">
        <f t="shared" si="1"/>
        <v>28.260869565217391</v>
      </c>
      <c r="J14" s="56">
        <f t="shared" si="2"/>
        <v>4.1538461538461542</v>
      </c>
      <c r="K14" s="57">
        <f t="shared" si="3"/>
        <v>0.80434782608695654</v>
      </c>
      <c r="L14" s="57">
        <f t="shared" si="4"/>
        <v>0.19565217391304346</v>
      </c>
      <c r="M14" s="55">
        <f>IFERROR(Metrics[[#This Row],[Revenue]]/Metrics[[#This Row],[Active Users]]*(1/Metrics[[#This Row],[Churn Rate]]),0)</f>
        <v>925.52552552552572</v>
      </c>
      <c r="N14" s="55">
        <f>IFERROR(Metrics[[#This Row],[Revenue]]/Metrics[[#This Row],[Active Users]],0)</f>
        <v>181.08108108108109</v>
      </c>
      <c r="O14" s="55">
        <f t="shared" si="0"/>
        <v>12132432.432432434</v>
      </c>
    </row>
    <row r="15" spans="3:15">
      <c r="C15" s="3" t="s">
        <v>23</v>
      </c>
      <c r="D15" s="54" t="s">
        <v>19</v>
      </c>
      <c r="E15" s="54">
        <v>280</v>
      </c>
      <c r="F15" s="54">
        <v>245</v>
      </c>
      <c r="G15" s="55">
        <v>33000</v>
      </c>
      <c r="H15" s="55">
        <v>5000</v>
      </c>
      <c r="I15" s="55">
        <f t="shared" si="1"/>
        <v>17.857142857142858</v>
      </c>
      <c r="J15" s="56">
        <f t="shared" si="2"/>
        <v>5.6</v>
      </c>
      <c r="K15" s="57">
        <f t="shared" si="3"/>
        <v>0.875</v>
      </c>
      <c r="L15" s="57">
        <f t="shared" si="4"/>
        <v>0.125</v>
      </c>
      <c r="M15" s="55">
        <f>IFERROR(Metrics[[#This Row],[Revenue]]/Metrics[[#This Row],[Active Users]]*(1/Metrics[[#This Row],[Churn Rate]]),0)</f>
        <v>1077.5510204081634</v>
      </c>
      <c r="N15" s="55">
        <f>IFERROR(Metrics[[#This Row],[Revenue]]/Metrics[[#This Row],[Active Users]],0)</f>
        <v>134.69387755102042</v>
      </c>
      <c r="O15" s="55">
        <f t="shared" si="0"/>
        <v>4444897.9591836743</v>
      </c>
    </row>
    <row r="16" spans="3:15">
      <c r="C16" s="4" t="s">
        <v>23</v>
      </c>
      <c r="D16" s="54" t="s">
        <v>20</v>
      </c>
      <c r="E16" s="54">
        <v>180</v>
      </c>
      <c r="F16" s="54">
        <v>165</v>
      </c>
      <c r="G16" s="55">
        <v>26000</v>
      </c>
      <c r="H16" s="55">
        <v>3000</v>
      </c>
      <c r="I16" s="55">
        <f t="shared" si="1"/>
        <v>16.666666666666668</v>
      </c>
      <c r="J16" s="56">
        <f t="shared" si="2"/>
        <v>7.666666666666667</v>
      </c>
      <c r="K16" s="57">
        <f t="shared" si="3"/>
        <v>0.91666666666666663</v>
      </c>
      <c r="L16" s="57">
        <f t="shared" si="4"/>
        <v>8.333333333333337E-2</v>
      </c>
      <c r="M16" s="55">
        <f>IFERROR(Metrics[[#This Row],[Revenue]]/Metrics[[#This Row],[Active Users]]*(1/Metrics[[#This Row],[Churn Rate]]),0)</f>
        <v>1890.9090909090899</v>
      </c>
      <c r="N16" s="55">
        <f>IFERROR(Metrics[[#This Row],[Revenue]]/Metrics[[#This Row],[Active Users]],0)</f>
        <v>157.57575757575756</v>
      </c>
      <c r="O16" s="55">
        <f t="shared" si="0"/>
        <v>4096969.6969696968</v>
      </c>
    </row>
    <row r="17" spans="3:15">
      <c r="C17" s="3" t="s">
        <v>24</v>
      </c>
      <c r="D17" s="54" t="s">
        <v>18</v>
      </c>
      <c r="E17" s="54">
        <v>490</v>
      </c>
      <c r="F17" s="54">
        <v>395</v>
      </c>
      <c r="G17" s="55">
        <v>72000</v>
      </c>
      <c r="H17" s="55">
        <v>13500</v>
      </c>
      <c r="I17" s="55">
        <f t="shared" si="1"/>
        <v>27.551020408163264</v>
      </c>
      <c r="J17" s="56">
        <f t="shared" si="2"/>
        <v>4.333333333333333</v>
      </c>
      <c r="K17" s="57">
        <f t="shared" si="3"/>
        <v>0.80612244897959184</v>
      </c>
      <c r="L17" s="57">
        <f t="shared" si="4"/>
        <v>0.19387755102040816</v>
      </c>
      <c r="M17" s="55">
        <f>IFERROR(Metrics[[#This Row],[Revenue]]/Metrics[[#This Row],[Active Users]]*(1/Metrics[[#This Row],[Churn Rate]]),0)</f>
        <v>940.17321785476349</v>
      </c>
      <c r="N17" s="55">
        <f>IFERROR(Metrics[[#This Row],[Revenue]]/Metrics[[#This Row],[Active Users]],0)</f>
        <v>182.27848101265823</v>
      </c>
      <c r="O17" s="55">
        <f t="shared" si="0"/>
        <v>13124050.632911393</v>
      </c>
    </row>
    <row r="18" spans="3:15">
      <c r="C18" s="4" t="s">
        <v>24</v>
      </c>
      <c r="D18" s="54" t="s">
        <v>19</v>
      </c>
      <c r="E18" s="54">
        <v>300</v>
      </c>
      <c r="F18" s="54">
        <v>265</v>
      </c>
      <c r="G18" s="55">
        <v>36000</v>
      </c>
      <c r="H18" s="55">
        <v>5200</v>
      </c>
      <c r="I18" s="55">
        <f t="shared" si="1"/>
        <v>17.333333333333332</v>
      </c>
      <c r="J18" s="56">
        <f t="shared" si="2"/>
        <v>5.9230769230769234</v>
      </c>
      <c r="K18" s="57">
        <f t="shared" si="3"/>
        <v>0.8833333333333333</v>
      </c>
      <c r="L18" s="57">
        <f t="shared" si="4"/>
        <v>0.1166666666666667</v>
      </c>
      <c r="M18" s="55">
        <f>IFERROR(Metrics[[#This Row],[Revenue]]/Metrics[[#This Row],[Active Users]]*(1/Metrics[[#This Row],[Churn Rate]]),0)</f>
        <v>1164.420485175202</v>
      </c>
      <c r="N18" s="55">
        <f>IFERROR(Metrics[[#This Row],[Revenue]]/Metrics[[#This Row],[Active Users]],0)</f>
        <v>135.84905660377359</v>
      </c>
      <c r="O18" s="55">
        <f t="shared" si="0"/>
        <v>4890566.0377358496</v>
      </c>
    </row>
    <row r="19" spans="3:15">
      <c r="C19" s="3" t="s">
        <v>24</v>
      </c>
      <c r="D19" s="54" t="s">
        <v>20</v>
      </c>
      <c r="E19" s="54">
        <v>200</v>
      </c>
      <c r="F19" s="54">
        <v>185</v>
      </c>
      <c r="G19" s="55">
        <v>29000</v>
      </c>
      <c r="H19" s="55">
        <v>3200</v>
      </c>
      <c r="I19" s="55">
        <f t="shared" si="1"/>
        <v>16</v>
      </c>
      <c r="J19" s="56">
        <f t="shared" si="2"/>
        <v>8.0625</v>
      </c>
      <c r="K19" s="57">
        <f t="shared" si="3"/>
        <v>0.92500000000000004</v>
      </c>
      <c r="L19" s="57">
        <f t="shared" si="4"/>
        <v>7.4999999999999956E-2</v>
      </c>
      <c r="M19" s="55">
        <f>IFERROR(Metrics[[#This Row],[Revenue]]/Metrics[[#This Row],[Active Users]]*(1/Metrics[[#This Row],[Churn Rate]]),0)</f>
        <v>2090.0900900900911</v>
      </c>
      <c r="N19" s="55">
        <f>IFERROR(Metrics[[#This Row],[Revenue]]/Metrics[[#This Row],[Active Users]],0)</f>
        <v>156.75675675675674</v>
      </c>
      <c r="O19" s="55">
        <f t="shared" si="0"/>
        <v>4545945.9459459456</v>
      </c>
    </row>
    <row r="20" spans="3:15">
      <c r="C20" s="4" t="s">
        <v>25</v>
      </c>
      <c r="D20" s="54" t="s">
        <v>18</v>
      </c>
      <c r="E20" s="54">
        <v>520</v>
      </c>
      <c r="F20" s="54">
        <v>420</v>
      </c>
      <c r="G20" s="55">
        <v>78000</v>
      </c>
      <c r="H20" s="55">
        <v>14000</v>
      </c>
      <c r="I20" s="55">
        <f t="shared" si="1"/>
        <v>26.923076923076923</v>
      </c>
      <c r="J20" s="56">
        <f t="shared" si="2"/>
        <v>4.5714285714285712</v>
      </c>
      <c r="K20" s="57">
        <f t="shared" si="3"/>
        <v>0.80769230769230771</v>
      </c>
      <c r="L20" s="57">
        <f t="shared" si="4"/>
        <v>0.19230769230769229</v>
      </c>
      <c r="M20" s="55">
        <f>IFERROR(Metrics[[#This Row],[Revenue]]/Metrics[[#This Row],[Active Users]]*(1/Metrics[[#This Row],[Churn Rate]]),0)</f>
        <v>965.71428571428578</v>
      </c>
      <c r="N20" s="55">
        <f>IFERROR(Metrics[[#This Row],[Revenue]]/Metrics[[#This Row],[Active Users]],0)</f>
        <v>185.71428571428572</v>
      </c>
      <c r="O20" s="55">
        <f t="shared" si="0"/>
        <v>14485714.285714285</v>
      </c>
    </row>
    <row r="21" spans="3:15">
      <c r="C21" s="3" t="s">
        <v>25</v>
      </c>
      <c r="D21" s="54" t="s">
        <v>19</v>
      </c>
      <c r="E21" s="54">
        <v>320</v>
      </c>
      <c r="F21" s="54">
        <v>280</v>
      </c>
      <c r="G21" s="55">
        <v>39000</v>
      </c>
      <c r="H21" s="55">
        <v>5500</v>
      </c>
      <c r="I21" s="55">
        <f t="shared" si="1"/>
        <v>17.1875</v>
      </c>
      <c r="J21" s="56">
        <f t="shared" si="2"/>
        <v>6.0909090909090908</v>
      </c>
      <c r="K21" s="57">
        <f t="shared" si="3"/>
        <v>0.875</v>
      </c>
      <c r="L21" s="57">
        <f t="shared" si="4"/>
        <v>0.125</v>
      </c>
      <c r="M21" s="55">
        <f>IFERROR(Metrics[[#This Row],[Revenue]]/Metrics[[#This Row],[Active Users]]*(1/Metrics[[#This Row],[Churn Rate]]),0)</f>
        <v>1114.2857142857142</v>
      </c>
      <c r="N21" s="55">
        <f>IFERROR(Metrics[[#This Row],[Revenue]]/Metrics[[#This Row],[Active Users]],0)</f>
        <v>139.28571428571428</v>
      </c>
      <c r="O21" s="55">
        <f t="shared" si="0"/>
        <v>5432142.8571428573</v>
      </c>
    </row>
    <row r="22" spans="3:15">
      <c r="C22" s="4" t="s">
        <v>25</v>
      </c>
      <c r="D22" s="54" t="s">
        <v>20</v>
      </c>
      <c r="E22" s="54">
        <v>210</v>
      </c>
      <c r="F22" s="54">
        <v>190</v>
      </c>
      <c r="G22" s="55">
        <v>30000</v>
      </c>
      <c r="H22" s="55">
        <v>3400</v>
      </c>
      <c r="I22" s="55">
        <f t="shared" si="1"/>
        <v>16.19047619047619</v>
      </c>
      <c r="J22" s="56">
        <f t="shared" si="2"/>
        <v>7.8235294117647056</v>
      </c>
      <c r="K22" s="57">
        <f t="shared" si="3"/>
        <v>0.90476190476190477</v>
      </c>
      <c r="L22" s="57">
        <f t="shared" si="4"/>
        <v>9.5238095238095233E-2</v>
      </c>
      <c r="M22" s="55">
        <f>IFERROR(Metrics[[#This Row],[Revenue]]/Metrics[[#This Row],[Active Users]]*(1/Metrics[[#This Row],[Churn Rate]]),0)</f>
        <v>1657.8947368421052</v>
      </c>
      <c r="N22" s="55">
        <f>IFERROR(Metrics[[#This Row],[Revenue]]/Metrics[[#This Row],[Active Users]],0)</f>
        <v>157.89473684210526</v>
      </c>
      <c r="O22" s="55">
        <f t="shared" si="0"/>
        <v>4736842.1052631577</v>
      </c>
    </row>
    <row r="23" spans="3:15">
      <c r="C23" s="3" t="s">
        <v>26</v>
      </c>
      <c r="D23" s="54" t="s">
        <v>18</v>
      </c>
      <c r="E23" s="54">
        <v>540</v>
      </c>
      <c r="F23" s="54">
        <v>440</v>
      </c>
      <c r="G23" s="55">
        <v>83000</v>
      </c>
      <c r="H23" s="55">
        <v>14500</v>
      </c>
      <c r="I23" s="55">
        <f t="shared" si="1"/>
        <v>26.851851851851851</v>
      </c>
      <c r="J23" s="56">
        <f t="shared" si="2"/>
        <v>4.7241379310344831</v>
      </c>
      <c r="K23" s="57">
        <f t="shared" si="3"/>
        <v>0.81481481481481477</v>
      </c>
      <c r="L23" s="57">
        <f t="shared" si="4"/>
        <v>0.18518518518518523</v>
      </c>
      <c r="M23" s="55">
        <f>IFERROR(Metrics[[#This Row],[Revenue]]/Metrics[[#This Row],[Active Users]]*(1/Metrics[[#This Row],[Churn Rate]]),0)</f>
        <v>1018.6363636363633</v>
      </c>
      <c r="N23" s="55">
        <f>IFERROR(Metrics[[#This Row],[Revenue]]/Metrics[[#This Row],[Active Users]],0)</f>
        <v>188.63636363636363</v>
      </c>
      <c r="O23" s="55">
        <f t="shared" si="0"/>
        <v>15656818.181818182</v>
      </c>
    </row>
    <row r="24" spans="3:15">
      <c r="C24" s="4" t="s">
        <v>26</v>
      </c>
      <c r="D24" s="54" t="s">
        <v>19</v>
      </c>
      <c r="E24" s="54">
        <v>340</v>
      </c>
      <c r="F24" s="54">
        <v>295</v>
      </c>
      <c r="G24" s="55">
        <v>42000</v>
      </c>
      <c r="H24" s="55">
        <v>5800</v>
      </c>
      <c r="I24" s="55">
        <f t="shared" si="1"/>
        <v>17.058823529411764</v>
      </c>
      <c r="J24" s="56">
        <f t="shared" si="2"/>
        <v>6.2413793103448274</v>
      </c>
      <c r="K24" s="57">
        <f t="shared" si="3"/>
        <v>0.86764705882352944</v>
      </c>
      <c r="L24" s="57">
        <f t="shared" si="4"/>
        <v>0.13235294117647056</v>
      </c>
      <c r="M24" s="55">
        <f>IFERROR(Metrics[[#This Row],[Revenue]]/Metrics[[#This Row],[Active Users]]*(1/Metrics[[#This Row],[Churn Rate]]),0)</f>
        <v>1075.7062146892658</v>
      </c>
      <c r="N24" s="55">
        <f>IFERROR(Metrics[[#This Row],[Revenue]]/Metrics[[#This Row],[Active Users]],0)</f>
        <v>142.37288135593221</v>
      </c>
      <c r="O24" s="55">
        <f t="shared" si="0"/>
        <v>5979661.0169491526</v>
      </c>
    </row>
    <row r="25" spans="3:15">
      <c r="C25" s="3" t="s">
        <v>26</v>
      </c>
      <c r="D25" s="54" t="s">
        <v>20</v>
      </c>
      <c r="E25" s="54">
        <v>220</v>
      </c>
      <c r="F25" s="54">
        <v>200</v>
      </c>
      <c r="G25" s="55">
        <v>32000</v>
      </c>
      <c r="H25" s="55">
        <v>3600</v>
      </c>
      <c r="I25" s="55">
        <f t="shared" si="1"/>
        <v>16.363636363636363</v>
      </c>
      <c r="J25" s="56">
        <f t="shared" si="2"/>
        <v>7.8888888888888893</v>
      </c>
      <c r="K25" s="57">
        <f t="shared" si="3"/>
        <v>0.90909090909090906</v>
      </c>
      <c r="L25" s="57">
        <f t="shared" si="4"/>
        <v>9.0909090909090939E-2</v>
      </c>
      <c r="M25" s="55">
        <f>IFERROR(Metrics[[#This Row],[Revenue]]/Metrics[[#This Row],[Active Users]]*(1/Metrics[[#This Row],[Churn Rate]]),0)</f>
        <v>1759.9999999999995</v>
      </c>
      <c r="N25" s="55">
        <f>IFERROR(Metrics[[#This Row],[Revenue]]/Metrics[[#This Row],[Active Users]],0)</f>
        <v>160</v>
      </c>
      <c r="O25" s="55">
        <f t="shared" si="0"/>
        <v>5120000</v>
      </c>
    </row>
    <row r="26" spans="3:15">
      <c r="C26" s="4" t="s">
        <v>27</v>
      </c>
      <c r="D26" s="54" t="s">
        <v>18</v>
      </c>
      <c r="E26" s="54">
        <v>560</v>
      </c>
      <c r="F26" s="54">
        <v>455</v>
      </c>
      <c r="G26" s="55">
        <v>87000</v>
      </c>
      <c r="H26" s="55">
        <v>15000</v>
      </c>
      <c r="I26" s="55">
        <f t="shared" si="1"/>
        <v>26.785714285714285</v>
      </c>
      <c r="J26" s="56">
        <f t="shared" si="2"/>
        <v>4.8</v>
      </c>
      <c r="K26" s="57">
        <f t="shared" si="3"/>
        <v>0.8125</v>
      </c>
      <c r="L26" s="57">
        <f t="shared" si="4"/>
        <v>0.1875</v>
      </c>
      <c r="M26" s="55">
        <f>IFERROR(Metrics[[#This Row],[Revenue]]/Metrics[[#This Row],[Active Users]]*(1/Metrics[[#This Row],[Churn Rate]]),0)</f>
        <v>1019.7802197802198</v>
      </c>
      <c r="N26" s="55">
        <f>IFERROR(Metrics[[#This Row],[Revenue]]/Metrics[[#This Row],[Active Users]],0)</f>
        <v>191.20879120879121</v>
      </c>
      <c r="O26" s="55">
        <f t="shared" si="0"/>
        <v>16635164.835164836</v>
      </c>
    </row>
    <row r="27" spans="3:15">
      <c r="C27" s="3" t="s">
        <v>27</v>
      </c>
      <c r="D27" s="54" t="s">
        <v>19</v>
      </c>
      <c r="E27" s="54">
        <v>360</v>
      </c>
      <c r="F27" s="54">
        <v>305</v>
      </c>
      <c r="G27" s="55">
        <v>44000</v>
      </c>
      <c r="H27" s="55">
        <v>6000</v>
      </c>
      <c r="I27" s="55">
        <f t="shared" si="1"/>
        <v>16.666666666666668</v>
      </c>
      <c r="J27" s="56">
        <f t="shared" si="2"/>
        <v>6.333333333333333</v>
      </c>
      <c r="K27" s="57">
        <f t="shared" si="3"/>
        <v>0.84722222222222221</v>
      </c>
      <c r="L27" s="57">
        <f t="shared" si="4"/>
        <v>0.15277777777777779</v>
      </c>
      <c r="M27" s="55">
        <f>IFERROR(Metrics[[#This Row],[Revenue]]/Metrics[[#This Row],[Active Users]]*(1/Metrics[[#This Row],[Churn Rate]]),0)</f>
        <v>944.26229508196707</v>
      </c>
      <c r="N27" s="55">
        <f>IFERROR(Metrics[[#This Row],[Revenue]]/Metrics[[#This Row],[Active Users]],0)</f>
        <v>144.26229508196721</v>
      </c>
      <c r="O27" s="55">
        <f t="shared" si="0"/>
        <v>6347540.9836065574</v>
      </c>
    </row>
    <row r="28" spans="3:15">
      <c r="C28" s="4" t="s">
        <v>27</v>
      </c>
      <c r="D28" s="54" t="s">
        <v>20</v>
      </c>
      <c r="E28" s="54">
        <v>240</v>
      </c>
      <c r="F28" s="54">
        <v>215</v>
      </c>
      <c r="G28" s="55">
        <v>34000</v>
      </c>
      <c r="H28" s="55">
        <v>3800</v>
      </c>
      <c r="I28" s="55">
        <f t="shared" si="1"/>
        <v>15.833333333333334</v>
      </c>
      <c r="J28" s="56">
        <f t="shared" si="2"/>
        <v>7.9473684210526319</v>
      </c>
      <c r="K28" s="57">
        <f t="shared" si="3"/>
        <v>0.89583333333333337</v>
      </c>
      <c r="L28" s="57">
        <f t="shared" si="4"/>
        <v>0.10416666666666663</v>
      </c>
      <c r="M28" s="55">
        <f>IFERROR(Metrics[[#This Row],[Revenue]]/Metrics[[#This Row],[Active Users]]*(1/Metrics[[#This Row],[Churn Rate]]),0)</f>
        <v>1518.1395348837214</v>
      </c>
      <c r="N28" s="55">
        <f>IFERROR(Metrics[[#This Row],[Revenue]]/Metrics[[#This Row],[Active Users]],0)</f>
        <v>158.13953488372093</v>
      </c>
      <c r="O28" s="55">
        <f t="shared" si="0"/>
        <v>5376744.1860465119</v>
      </c>
    </row>
    <row r="29" spans="3:15">
      <c r="C29" s="3" t="s">
        <v>28</v>
      </c>
      <c r="D29" s="54" t="s">
        <v>18</v>
      </c>
      <c r="E29" s="54">
        <v>580</v>
      </c>
      <c r="F29" s="54">
        <v>470</v>
      </c>
      <c r="G29" s="55">
        <v>90000</v>
      </c>
      <c r="H29" s="55">
        <v>15200</v>
      </c>
      <c r="I29" s="55">
        <f t="shared" si="1"/>
        <v>26.206896551724139</v>
      </c>
      <c r="J29" s="56">
        <f t="shared" si="2"/>
        <v>4.9210526315789478</v>
      </c>
      <c r="K29" s="57">
        <f t="shared" si="3"/>
        <v>0.81034482758620685</v>
      </c>
      <c r="L29" s="57">
        <f t="shared" si="4"/>
        <v>0.18965517241379315</v>
      </c>
      <c r="M29" s="55">
        <f>IFERROR(Metrics[[#This Row],[Revenue]]/Metrics[[#This Row],[Active Users]]*(1/Metrics[[#This Row],[Churn Rate]]),0)</f>
        <v>1009.6711798839457</v>
      </c>
      <c r="N29" s="55">
        <f>IFERROR(Metrics[[#This Row],[Revenue]]/Metrics[[#This Row],[Active Users]],0)</f>
        <v>191.48936170212767</v>
      </c>
      <c r="O29" s="55">
        <f t="shared" si="0"/>
        <v>17234042.55319149</v>
      </c>
    </row>
    <row r="30" spans="3:15">
      <c r="C30" s="4" t="s">
        <v>28</v>
      </c>
      <c r="D30" s="54" t="s">
        <v>19</v>
      </c>
      <c r="E30" s="54">
        <v>370</v>
      </c>
      <c r="F30" s="54">
        <v>310</v>
      </c>
      <c r="G30" s="55">
        <v>46000</v>
      </c>
      <c r="H30" s="55">
        <v>6200</v>
      </c>
      <c r="I30" s="55">
        <f t="shared" si="1"/>
        <v>16.756756756756758</v>
      </c>
      <c r="J30" s="56">
        <f t="shared" si="2"/>
        <v>6.419354838709677</v>
      </c>
      <c r="K30" s="57">
        <f t="shared" si="3"/>
        <v>0.83783783783783783</v>
      </c>
      <c r="L30" s="57">
        <f t="shared" si="4"/>
        <v>0.16216216216216217</v>
      </c>
      <c r="M30" s="55">
        <f>IFERROR(Metrics[[#This Row],[Revenue]]/Metrics[[#This Row],[Active Users]]*(1/Metrics[[#This Row],[Churn Rate]]),0)</f>
        <v>915.05376344086005</v>
      </c>
      <c r="N30" s="55">
        <f>IFERROR(Metrics[[#This Row],[Revenue]]/Metrics[[#This Row],[Active Users]],0)</f>
        <v>148.38709677419354</v>
      </c>
      <c r="O30" s="55">
        <f t="shared" si="0"/>
        <v>6825806.4516129028</v>
      </c>
    </row>
    <row r="31" spans="3:15">
      <c r="C31" s="3" t="s">
        <v>28</v>
      </c>
      <c r="D31" s="54" t="s">
        <v>20</v>
      </c>
      <c r="E31" s="54">
        <v>250</v>
      </c>
      <c r="F31" s="54">
        <v>225</v>
      </c>
      <c r="G31" s="55">
        <v>36000</v>
      </c>
      <c r="H31" s="55">
        <v>4000</v>
      </c>
      <c r="I31" s="55">
        <f t="shared" si="1"/>
        <v>16</v>
      </c>
      <c r="J31" s="56">
        <f t="shared" si="2"/>
        <v>8</v>
      </c>
      <c r="K31" s="57">
        <f t="shared" si="3"/>
        <v>0.9</v>
      </c>
      <c r="L31" s="57">
        <f t="shared" si="4"/>
        <v>9.9999999999999978E-2</v>
      </c>
      <c r="M31" s="55">
        <f>IFERROR(Metrics[[#This Row],[Revenue]]/Metrics[[#This Row],[Active Users]]*(1/Metrics[[#This Row],[Churn Rate]]),0)</f>
        <v>1600.0000000000002</v>
      </c>
      <c r="N31" s="55">
        <f>IFERROR(Metrics[[#This Row],[Revenue]]/Metrics[[#This Row],[Active Users]],0)</f>
        <v>160</v>
      </c>
      <c r="O31" s="55">
        <f t="shared" si="0"/>
        <v>5760000</v>
      </c>
    </row>
    <row r="32" spans="3:15">
      <c r="C32" s="4" t="s">
        <v>29</v>
      </c>
      <c r="D32" s="54" t="s">
        <v>18</v>
      </c>
      <c r="E32" s="54">
        <v>600</v>
      </c>
      <c r="F32" s="54">
        <v>490</v>
      </c>
      <c r="G32" s="55">
        <v>94000</v>
      </c>
      <c r="H32" s="55">
        <v>15500</v>
      </c>
      <c r="I32" s="55">
        <f t="shared" si="1"/>
        <v>25.833333333333332</v>
      </c>
      <c r="J32" s="56">
        <f t="shared" si="2"/>
        <v>5.064516129032258</v>
      </c>
      <c r="K32" s="57">
        <f t="shared" si="3"/>
        <v>0.81666666666666665</v>
      </c>
      <c r="L32" s="57">
        <f t="shared" si="4"/>
        <v>0.18333333333333335</v>
      </c>
      <c r="M32" s="55">
        <f>IFERROR(Metrics[[#This Row],[Revenue]]/Metrics[[#This Row],[Active Users]]*(1/Metrics[[#This Row],[Churn Rate]]),0)</f>
        <v>1046.3821892393321</v>
      </c>
      <c r="N32" s="55">
        <f>IFERROR(Metrics[[#This Row],[Revenue]]/Metrics[[#This Row],[Active Users]],0)</f>
        <v>191.83673469387756</v>
      </c>
      <c r="O32" s="55">
        <f t="shared" si="0"/>
        <v>18032653.06122449</v>
      </c>
    </row>
    <row r="33" spans="3:15">
      <c r="C33" s="3" t="s">
        <v>29</v>
      </c>
      <c r="D33" s="54" t="s">
        <v>19</v>
      </c>
      <c r="E33" s="54">
        <v>380</v>
      </c>
      <c r="F33" s="54">
        <v>320</v>
      </c>
      <c r="G33" s="55">
        <v>48000</v>
      </c>
      <c r="H33" s="55">
        <v>6300</v>
      </c>
      <c r="I33" s="55">
        <f t="shared" si="1"/>
        <v>16.578947368421051</v>
      </c>
      <c r="J33" s="56">
        <f t="shared" si="2"/>
        <v>6.6190476190476186</v>
      </c>
      <c r="K33" s="57">
        <f t="shared" si="3"/>
        <v>0.84210526315789469</v>
      </c>
      <c r="L33" s="57">
        <f t="shared" si="4"/>
        <v>0.15789473684210531</v>
      </c>
      <c r="M33" s="55">
        <f>IFERROR(Metrics[[#This Row],[Revenue]]/Metrics[[#This Row],[Active Users]]*(1/Metrics[[#This Row],[Churn Rate]]),0)</f>
        <v>949.99999999999966</v>
      </c>
      <c r="N33" s="55">
        <f>IFERROR(Metrics[[#This Row],[Revenue]]/Metrics[[#This Row],[Active Users]],0)</f>
        <v>150</v>
      </c>
      <c r="O33" s="55">
        <f t="shared" si="0"/>
        <v>7200000</v>
      </c>
    </row>
    <row r="34" spans="3:15">
      <c r="C34" s="4" t="s">
        <v>29</v>
      </c>
      <c r="D34" s="54" t="s">
        <v>20</v>
      </c>
      <c r="E34" s="54">
        <v>260</v>
      </c>
      <c r="F34" s="54">
        <v>235</v>
      </c>
      <c r="G34" s="55">
        <v>37000</v>
      </c>
      <c r="H34" s="55">
        <v>4100</v>
      </c>
      <c r="I34" s="55">
        <f t="shared" si="1"/>
        <v>15.76923076923077</v>
      </c>
      <c r="J34" s="56">
        <f t="shared" si="2"/>
        <v>8.0243902439024382</v>
      </c>
      <c r="K34" s="57">
        <f t="shared" si="3"/>
        <v>0.90384615384615385</v>
      </c>
      <c r="L34" s="57">
        <f t="shared" si="4"/>
        <v>9.6153846153846145E-2</v>
      </c>
      <c r="M34" s="55">
        <f>IFERROR(Metrics[[#This Row],[Revenue]]/Metrics[[#This Row],[Active Users]]*(1/Metrics[[#This Row],[Churn Rate]]),0)</f>
        <v>1637.4468085106384</v>
      </c>
      <c r="N34" s="55">
        <f>IFERROR(Metrics[[#This Row],[Revenue]]/Metrics[[#This Row],[Active Users]],0)</f>
        <v>157.44680851063831</v>
      </c>
      <c r="O34" s="55">
        <f t="shared" si="0"/>
        <v>5825531.9148936169</v>
      </c>
    </row>
    <row r="35" spans="3:15">
      <c r="C35" s="3" t="s">
        <v>30</v>
      </c>
      <c r="D35" s="54" t="s">
        <v>18</v>
      </c>
      <c r="E35" s="54">
        <v>610</v>
      </c>
      <c r="F35" s="54">
        <v>500</v>
      </c>
      <c r="G35" s="55">
        <v>96000</v>
      </c>
      <c r="H35" s="55">
        <v>15600</v>
      </c>
      <c r="I35" s="55">
        <f t="shared" si="1"/>
        <v>25.57377049180328</v>
      </c>
      <c r="J35" s="56">
        <f t="shared" si="2"/>
        <v>5.1538461538461542</v>
      </c>
      <c r="K35" s="57">
        <f t="shared" si="3"/>
        <v>0.81967213114754101</v>
      </c>
      <c r="L35" s="57">
        <f t="shared" si="4"/>
        <v>0.18032786885245899</v>
      </c>
      <c r="M35" s="55">
        <f>IFERROR(Metrics[[#This Row],[Revenue]]/Metrics[[#This Row],[Active Users]]*(1/Metrics[[#This Row],[Churn Rate]]),0)</f>
        <v>1064.7272727272727</v>
      </c>
      <c r="N35" s="55">
        <f>IFERROR(Metrics[[#This Row],[Revenue]]/Metrics[[#This Row],[Active Users]],0)</f>
        <v>192</v>
      </c>
      <c r="O35" s="55">
        <f t="shared" si="0"/>
        <v>18432000</v>
      </c>
    </row>
    <row r="36" spans="3:15">
      <c r="C36" s="4" t="s">
        <v>30</v>
      </c>
      <c r="D36" s="54" t="s">
        <v>19</v>
      </c>
      <c r="E36" s="54">
        <v>390</v>
      </c>
      <c r="F36" s="54">
        <v>330</v>
      </c>
      <c r="G36" s="55">
        <v>50000</v>
      </c>
      <c r="H36" s="55">
        <v>6400</v>
      </c>
      <c r="I36" s="55">
        <f t="shared" si="1"/>
        <v>16.410256410256409</v>
      </c>
      <c r="J36" s="56">
        <f t="shared" si="2"/>
        <v>6.8125</v>
      </c>
      <c r="K36" s="57">
        <f t="shared" si="3"/>
        <v>0.84615384615384615</v>
      </c>
      <c r="L36" s="57">
        <f t="shared" si="4"/>
        <v>0.15384615384615385</v>
      </c>
      <c r="M36" s="55">
        <f>IFERROR(Metrics[[#This Row],[Revenue]]/Metrics[[#This Row],[Active Users]]*(1/Metrics[[#This Row],[Churn Rate]]),0)</f>
        <v>984.84848484848476</v>
      </c>
      <c r="N36" s="55">
        <f>IFERROR(Metrics[[#This Row],[Revenue]]/Metrics[[#This Row],[Active Users]],0)</f>
        <v>151.5151515151515</v>
      </c>
      <c r="O36" s="55">
        <f t="shared" si="0"/>
        <v>7575757.5757575752</v>
      </c>
    </row>
    <row r="37" spans="3:15">
      <c r="C37" s="3" t="s">
        <v>30</v>
      </c>
      <c r="D37" s="54" t="s">
        <v>20</v>
      </c>
      <c r="E37" s="54">
        <v>270</v>
      </c>
      <c r="F37" s="54">
        <v>245</v>
      </c>
      <c r="G37" s="55">
        <v>38000</v>
      </c>
      <c r="H37" s="55">
        <v>4200</v>
      </c>
      <c r="I37" s="55">
        <f t="shared" si="1"/>
        <v>15.555555555555555</v>
      </c>
      <c r="J37" s="56">
        <f t="shared" si="2"/>
        <v>8.0476190476190474</v>
      </c>
      <c r="K37" s="57">
        <f t="shared" si="3"/>
        <v>0.90740740740740744</v>
      </c>
      <c r="L37" s="57">
        <f t="shared" si="4"/>
        <v>9.259259259259256E-2</v>
      </c>
      <c r="M37" s="55">
        <f>IFERROR(Metrics[[#This Row],[Revenue]]/Metrics[[#This Row],[Active Users]]*(1/Metrics[[#This Row],[Churn Rate]]),0)</f>
        <v>1675.1020408163272</v>
      </c>
      <c r="N37" s="55">
        <f>IFERROR(Metrics[[#This Row],[Revenue]]/Metrics[[#This Row],[Active Users]],0)</f>
        <v>155.10204081632654</v>
      </c>
      <c r="O37" s="55">
        <f t="shared" si="0"/>
        <v>5893877.551020408</v>
      </c>
    </row>
    <row r="38" spans="3:15">
      <c r="C38" s="4" t="s">
        <v>31</v>
      </c>
      <c r="D38" s="54" t="s">
        <v>18</v>
      </c>
      <c r="E38" s="54">
        <v>630</v>
      </c>
      <c r="F38" s="54">
        <v>520</v>
      </c>
      <c r="G38" s="55">
        <v>99000</v>
      </c>
      <c r="H38" s="55">
        <v>16000</v>
      </c>
      <c r="I38" s="55">
        <f t="shared" si="1"/>
        <v>25.396825396825395</v>
      </c>
      <c r="J38" s="56">
        <f t="shared" si="2"/>
        <v>5.1875</v>
      </c>
      <c r="K38" s="57">
        <f t="shared" si="3"/>
        <v>0.82539682539682535</v>
      </c>
      <c r="L38" s="57">
        <f t="shared" si="4"/>
        <v>0.17460317460317465</v>
      </c>
      <c r="M38" s="55">
        <f>IFERROR(Metrics[[#This Row],[Revenue]]/Metrics[[#This Row],[Active Users]]*(1/Metrics[[#This Row],[Churn Rate]]),0)</f>
        <v>1090.384615384615</v>
      </c>
      <c r="N38" s="55">
        <f>IFERROR(Metrics[[#This Row],[Revenue]]/Metrics[[#This Row],[Active Users]],0)</f>
        <v>190.38461538461539</v>
      </c>
      <c r="O38" s="55">
        <f t="shared" si="0"/>
        <v>18848076.923076924</v>
      </c>
    </row>
    <row r="39" spans="3:15">
      <c r="C39" s="3" t="s">
        <v>31</v>
      </c>
      <c r="D39" s="54" t="s">
        <v>19</v>
      </c>
      <c r="E39" s="54">
        <v>400</v>
      </c>
      <c r="F39" s="54">
        <v>340</v>
      </c>
      <c r="G39" s="55">
        <v>52000</v>
      </c>
      <c r="H39" s="55">
        <v>6500</v>
      </c>
      <c r="I39" s="55">
        <f t="shared" si="1"/>
        <v>16.25</v>
      </c>
      <c r="J39" s="56">
        <f t="shared" si="2"/>
        <v>7</v>
      </c>
      <c r="K39" s="57">
        <f>IFERROR(F39/E39,0)</f>
        <v>0.85</v>
      </c>
      <c r="L39" s="57">
        <f t="shared" si="4"/>
        <v>0.15000000000000002</v>
      </c>
      <c r="M39" s="55">
        <f>IFERROR(Metrics[[#This Row],[Revenue]]/Metrics[[#This Row],[Active Users]]*(1/Metrics[[#This Row],[Churn Rate]]),0)</f>
        <v>1019.6078431372548</v>
      </c>
      <c r="N39" s="55">
        <f>IFERROR(Metrics[[#This Row],[Revenue]]/Metrics[[#This Row],[Active Users]],0)</f>
        <v>152.94117647058823</v>
      </c>
      <c r="O39" s="55">
        <f t="shared" si="0"/>
        <v>7952941.176470588</v>
      </c>
    </row>
    <row r="40" spans="3:15">
      <c r="C40" s="4" t="s">
        <v>31</v>
      </c>
      <c r="D40" s="54" t="s">
        <v>20</v>
      </c>
      <c r="E40" s="54">
        <v>280</v>
      </c>
      <c r="F40" s="54">
        <v>255</v>
      </c>
      <c r="G40" s="55">
        <v>40000</v>
      </c>
      <c r="H40" s="55">
        <v>4300</v>
      </c>
      <c r="I40" s="55">
        <f t="shared" si="1"/>
        <v>15.357142857142858</v>
      </c>
      <c r="J40" s="56">
        <f t="shared" si="2"/>
        <v>8.3023255813953494</v>
      </c>
      <c r="K40" s="57">
        <f t="shared" si="3"/>
        <v>0.9107142857142857</v>
      </c>
      <c r="L40" s="57">
        <f t="shared" si="4"/>
        <v>8.9285714285714302E-2</v>
      </c>
      <c r="M40" s="55">
        <f>IFERROR(Metrics[[#This Row],[Revenue]]/Metrics[[#This Row],[Active Users]]*(1/Metrics[[#This Row],[Churn Rate]]),0)</f>
        <v>1756.8627450980389</v>
      </c>
      <c r="N40" s="55">
        <f>IFERROR(Metrics[[#This Row],[Revenue]]/Metrics[[#This Row],[Active Users]],0)</f>
        <v>156.86274509803923</v>
      </c>
      <c r="O40" s="55">
        <f t="shared" si="0"/>
        <v>6274509.8039215691</v>
      </c>
    </row>
    <row r="42" spans="3:15">
      <c r="J42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EE15-5EEF-43DE-875B-2E1704815B27}">
  <dimension ref="C4:L18"/>
  <sheetViews>
    <sheetView workbookViewId="0">
      <selection activeCell="F13" sqref="F13"/>
    </sheetView>
  </sheetViews>
  <sheetFormatPr defaultRowHeight="14.45"/>
  <cols>
    <col min="4" max="4" width="11.7109375" customWidth="1"/>
    <col min="5" max="5" width="13.140625" customWidth="1"/>
    <col min="6" max="6" width="12.28515625" bestFit="1" customWidth="1"/>
    <col min="7" max="7" width="17.28515625" customWidth="1"/>
    <col min="10" max="10" width="15.28515625" customWidth="1"/>
    <col min="11" max="11" width="12.28515625" customWidth="1"/>
    <col min="12" max="12" width="10.28515625" bestFit="1" customWidth="1"/>
  </cols>
  <sheetData>
    <row r="4" spans="3:12">
      <c r="C4" s="53" t="s">
        <v>4</v>
      </c>
      <c r="D4" s="53" t="s">
        <v>6</v>
      </c>
      <c r="E4" s="53" t="s">
        <v>7</v>
      </c>
      <c r="F4" s="53" t="s">
        <v>8</v>
      </c>
      <c r="G4" s="53" t="s">
        <v>9</v>
      </c>
      <c r="H4" s="53" t="s">
        <v>10</v>
      </c>
      <c r="I4" s="53" t="s">
        <v>11</v>
      </c>
      <c r="J4" s="53" t="s">
        <v>12</v>
      </c>
      <c r="K4" s="53" t="s">
        <v>13</v>
      </c>
      <c r="L4" s="53" t="s">
        <v>14</v>
      </c>
    </row>
    <row r="5" spans="3:12">
      <c r="C5" s="58" t="s">
        <v>17</v>
      </c>
      <c r="D5" s="59">
        <f>IFERROR(SUM('01_Data_Model'!E5:E7),0)</f>
        <v>600</v>
      </c>
      <c r="E5" s="59">
        <f>IFERROR(SUM('01_Data_Model'!F5:F7),0)</f>
        <v>495</v>
      </c>
      <c r="F5" s="60">
        <f>IFERROR(SUM('01_Data_Model'!G5:G7),0)</f>
        <v>85000</v>
      </c>
      <c r="G5" s="60">
        <f>IFERROR(SUM('01_Data_Model'!H5:H7),0)</f>
        <v>16000</v>
      </c>
      <c r="H5" s="60">
        <f>IFERROR(G5/D5,0)</f>
        <v>26.666666666666668</v>
      </c>
      <c r="I5" s="61">
        <f>IFERROR((F5-G5)/G5,0)</f>
        <v>4.3125</v>
      </c>
      <c r="J5" s="62">
        <f>IFERROR(E5/D5,0)</f>
        <v>0.82499999999999996</v>
      </c>
      <c r="K5" s="62">
        <f>IFERROR(1-J5,0)</f>
        <v>0.17500000000000004</v>
      </c>
      <c r="L5" s="60">
        <f>Monthy_Metrics[[#This Row],[Revenue]]/Monthy_Metrics[[#This Row],[Active Users]]*(1/(Monthy_Metrics[[#This Row],[Churn Rate]]))</f>
        <v>981.24098124098089</v>
      </c>
    </row>
    <row r="6" spans="3:12">
      <c r="C6" s="58" t="s">
        <v>21</v>
      </c>
      <c r="D6" s="59">
        <f>IFERROR(SUM('01_Data_Model'!E8:E10),0)</f>
        <v>750</v>
      </c>
      <c r="E6" s="59">
        <f>IFERROR(SUM('01_Data_Model'!F8:F10),0)</f>
        <v>620</v>
      </c>
      <c r="F6" s="60">
        <f>IFERROR(SUM('01_Data_Model'!G8:G10),0)</f>
        <v>102000</v>
      </c>
      <c r="G6" s="60">
        <f>IFERROR(SUM('01_Data_Model'!H8:H10),0)</f>
        <v>19000</v>
      </c>
      <c r="H6" s="60">
        <f t="shared" ref="H6:H16" si="0">IFERROR(G6/D6,0)</f>
        <v>25.333333333333332</v>
      </c>
      <c r="I6" s="61">
        <f t="shared" ref="I6:I16" si="1">IFERROR((F6-G6)/G6,0)</f>
        <v>4.3684210526315788</v>
      </c>
      <c r="J6" s="62">
        <f t="shared" ref="J6:J16" si="2">IFERROR(E6/D6,0)</f>
        <v>0.82666666666666666</v>
      </c>
      <c r="K6" s="62">
        <f t="shared" ref="K6:K16" si="3">IFERROR(1-J6,0)</f>
        <v>0.17333333333333334</v>
      </c>
      <c r="L6" s="60">
        <f>Monthy_Metrics[[#This Row],[Revenue]]/Monthy_Metrics[[#This Row],[Active Users]]*(1/(Monthy_Metrics[[#This Row],[Churn Rate]]))</f>
        <v>949.13151364764269</v>
      </c>
    </row>
    <row r="7" spans="3:12">
      <c r="C7" s="58" t="s">
        <v>22</v>
      </c>
      <c r="D7" s="59">
        <f>IFERROR(SUM('01_Data_Model'!E11:E13),0)</f>
        <v>830</v>
      </c>
      <c r="E7" s="59">
        <f>IFERROR(SUM('01_Data_Model'!F11:F13),0)</f>
        <v>695</v>
      </c>
      <c r="F7" s="60">
        <f>IFERROR(SUM('01_Data_Model'!G11:G13),0)</f>
        <v>113000</v>
      </c>
      <c r="G7" s="60">
        <f>IFERROR(SUM('01_Data_Model'!H11:H13),0)</f>
        <v>20000</v>
      </c>
      <c r="H7" s="60">
        <f t="shared" si="0"/>
        <v>24.096385542168676</v>
      </c>
      <c r="I7" s="61">
        <f t="shared" si="1"/>
        <v>4.6500000000000004</v>
      </c>
      <c r="J7" s="62">
        <f t="shared" si="2"/>
        <v>0.83734939759036142</v>
      </c>
      <c r="K7" s="62">
        <f t="shared" si="3"/>
        <v>0.16265060240963858</v>
      </c>
      <c r="L7" s="60">
        <f>Monthy_Metrics[[#This Row],[Revenue]]/Monthy_Metrics[[#This Row],[Active Users]]*(1/(Monthy_Metrics[[#This Row],[Churn Rate]]))</f>
        <v>999.62696509459079</v>
      </c>
    </row>
    <row r="8" spans="3:12">
      <c r="C8" s="58" t="s">
        <v>23</v>
      </c>
      <c r="D8" s="59">
        <f>IFERROR(SUM('01_Data_Model'!E14:E16),0)</f>
        <v>920</v>
      </c>
      <c r="E8" s="59">
        <f>IFERROR(SUM('01_Data_Model'!F14:F16),0)</f>
        <v>780</v>
      </c>
      <c r="F8" s="60">
        <f>IFERROR(SUM('01_Data_Model'!G14:G16),0)</f>
        <v>126000</v>
      </c>
      <c r="G8" s="60">
        <f>IFERROR(SUM('01_Data_Model'!H14:H16),0)</f>
        <v>21000</v>
      </c>
      <c r="H8" s="60">
        <f t="shared" si="0"/>
        <v>22.826086956521738</v>
      </c>
      <c r="I8" s="61">
        <f t="shared" si="1"/>
        <v>5</v>
      </c>
      <c r="J8" s="62">
        <f t="shared" si="2"/>
        <v>0.84782608695652173</v>
      </c>
      <c r="K8" s="62">
        <f t="shared" si="3"/>
        <v>0.15217391304347827</v>
      </c>
      <c r="L8" s="60">
        <f>Monthy_Metrics[[#This Row],[Revenue]]/Monthy_Metrics[[#This Row],[Active Users]]*(1/(Monthy_Metrics[[#This Row],[Churn Rate]]))</f>
        <v>1061.5384615384617</v>
      </c>
    </row>
    <row r="9" spans="3:12">
      <c r="C9" s="58" t="s">
        <v>24</v>
      </c>
      <c r="D9" s="59">
        <f>IFERROR(SUM('01_Data_Model'!E17:E19),0)</f>
        <v>990</v>
      </c>
      <c r="E9" s="59">
        <f>IFERROR(SUM('01_Data_Model'!F17:F19),0)</f>
        <v>845</v>
      </c>
      <c r="F9" s="60">
        <f>IFERROR(SUM('01_Data_Model'!G17:G19),0)</f>
        <v>137000</v>
      </c>
      <c r="G9" s="60">
        <f>IFERROR(SUM('01_Data_Model'!H17:H19),0)</f>
        <v>21900</v>
      </c>
      <c r="H9" s="60">
        <f t="shared" si="0"/>
        <v>22.121212121212121</v>
      </c>
      <c r="I9" s="61">
        <f t="shared" si="1"/>
        <v>5.2557077625570781</v>
      </c>
      <c r="J9" s="62">
        <f t="shared" si="2"/>
        <v>0.85353535353535348</v>
      </c>
      <c r="K9" s="62">
        <f t="shared" si="3"/>
        <v>0.14646464646464652</v>
      </c>
      <c r="L9" s="60">
        <f>Monthy_Metrics[[#This Row],[Revenue]]/Monthy_Metrics[[#This Row],[Active Users]]*(1/(Monthy_Metrics[[#This Row],[Churn Rate]]))</f>
        <v>1106.9577637216889</v>
      </c>
    </row>
    <row r="10" spans="3:12">
      <c r="C10" s="58" t="s">
        <v>25</v>
      </c>
      <c r="D10" s="59">
        <f>IFERROR(SUM('01_Data_Model'!E20:E22),0)</f>
        <v>1050</v>
      </c>
      <c r="E10" s="59">
        <f>IFERROR(SUM('01_Data_Model'!F20:F22),0)</f>
        <v>890</v>
      </c>
      <c r="F10" s="60">
        <f>IFERROR(SUM('01_Data_Model'!G20:G22),0)</f>
        <v>147000</v>
      </c>
      <c r="G10" s="60">
        <f>IFERROR(SUM('01_Data_Model'!H20:H22),0)</f>
        <v>22900</v>
      </c>
      <c r="H10" s="60">
        <f t="shared" si="0"/>
        <v>21.80952380952381</v>
      </c>
      <c r="I10" s="61">
        <f t="shared" si="1"/>
        <v>5.4192139737991267</v>
      </c>
      <c r="J10" s="62">
        <f t="shared" si="2"/>
        <v>0.84761904761904761</v>
      </c>
      <c r="K10" s="62">
        <f t="shared" si="3"/>
        <v>0.15238095238095239</v>
      </c>
      <c r="L10" s="60">
        <f>Monthy_Metrics[[#This Row],[Revenue]]/Monthy_Metrics[[#This Row],[Active Users]]*(1/(Monthy_Metrics[[#This Row],[Churn Rate]]))</f>
        <v>1083.9185393258424</v>
      </c>
    </row>
    <row r="11" spans="3:12">
      <c r="C11" s="58" t="s">
        <v>26</v>
      </c>
      <c r="D11" s="59">
        <f>IFERROR(SUM('01_Data_Model'!E23:E25),0)</f>
        <v>1100</v>
      </c>
      <c r="E11" s="59">
        <f>IFERROR(SUM('01_Data_Model'!F23:F25),0)</f>
        <v>935</v>
      </c>
      <c r="F11" s="60">
        <f>IFERROR(SUM('01_Data_Model'!G23:G25),0)</f>
        <v>157000</v>
      </c>
      <c r="G11" s="60">
        <f>IFERROR(SUM('01_Data_Model'!H23:H25),0)</f>
        <v>23900</v>
      </c>
      <c r="H11" s="60">
        <f t="shared" si="0"/>
        <v>21.727272727272727</v>
      </c>
      <c r="I11" s="61">
        <f t="shared" si="1"/>
        <v>5.5690376569037658</v>
      </c>
      <c r="J11" s="62">
        <f t="shared" si="2"/>
        <v>0.85</v>
      </c>
      <c r="K11" s="62">
        <f t="shared" si="3"/>
        <v>0.15000000000000002</v>
      </c>
      <c r="L11" s="60">
        <f>Monthy_Metrics[[#This Row],[Revenue]]/Monthy_Metrics[[#This Row],[Active Users]]*(1/(Monthy_Metrics[[#This Row],[Churn Rate]]))</f>
        <v>1119.4295900178251</v>
      </c>
    </row>
    <row r="12" spans="3:12">
      <c r="C12" s="58" t="s">
        <v>27</v>
      </c>
      <c r="D12" s="59">
        <f>IFERROR(SUM('01_Data_Model'!E26:E28),0)</f>
        <v>1160</v>
      </c>
      <c r="E12" s="59">
        <f>IFERROR(SUM('01_Data_Model'!F26:F28),0)</f>
        <v>975</v>
      </c>
      <c r="F12" s="60">
        <f>IFERROR(SUM('01_Data_Model'!G26:G28),0)</f>
        <v>165000</v>
      </c>
      <c r="G12" s="60">
        <f>IFERROR(SUM('01_Data_Model'!H26:H28),0)</f>
        <v>24800</v>
      </c>
      <c r="H12" s="60">
        <f t="shared" si="0"/>
        <v>21.379310344827587</v>
      </c>
      <c r="I12" s="61">
        <f t="shared" si="1"/>
        <v>5.653225806451613</v>
      </c>
      <c r="J12" s="62">
        <f t="shared" si="2"/>
        <v>0.84051724137931039</v>
      </c>
      <c r="K12" s="62">
        <f t="shared" si="3"/>
        <v>0.15948275862068961</v>
      </c>
      <c r="L12" s="60">
        <f>Monthy_Metrics[[#This Row],[Revenue]]/Monthy_Metrics[[#This Row],[Active Users]]*(1/(Monthy_Metrics[[#This Row],[Churn Rate]]))</f>
        <v>1061.1226611226614</v>
      </c>
    </row>
    <row r="13" spans="3:12">
      <c r="C13" s="58" t="s">
        <v>28</v>
      </c>
      <c r="D13" s="59">
        <f>IFERROR(SUM('01_Data_Model'!E29:E31),0)</f>
        <v>1200</v>
      </c>
      <c r="E13" s="59">
        <f>IFERROR(SUM('01_Data_Model'!F29:F31),0)</f>
        <v>1005</v>
      </c>
      <c r="F13" s="60">
        <f>IFERROR(SUM('01_Data_Model'!G29:G31),0)</f>
        <v>172000</v>
      </c>
      <c r="G13" s="60">
        <f>IFERROR(SUM('01_Data_Model'!H29:H31),0)</f>
        <v>25400</v>
      </c>
      <c r="H13" s="60">
        <f t="shared" si="0"/>
        <v>21.166666666666668</v>
      </c>
      <c r="I13" s="61">
        <f t="shared" si="1"/>
        <v>5.771653543307087</v>
      </c>
      <c r="J13" s="62">
        <f t="shared" si="2"/>
        <v>0.83750000000000002</v>
      </c>
      <c r="K13" s="62">
        <f t="shared" si="3"/>
        <v>0.16249999999999998</v>
      </c>
      <c r="L13" s="60">
        <f>Monthy_Metrics[[#This Row],[Revenue]]/Monthy_Metrics[[#This Row],[Active Users]]*(1/(Monthy_Metrics[[#This Row],[Churn Rate]]))</f>
        <v>1053.1955606582474</v>
      </c>
    </row>
    <row r="14" spans="3:12">
      <c r="C14" s="58" t="s">
        <v>29</v>
      </c>
      <c r="D14" s="59">
        <f>IFERROR(SUM('01_Data_Model'!E32:E34),0)</f>
        <v>1240</v>
      </c>
      <c r="E14" s="59">
        <f>IFERROR(SUM('01_Data_Model'!F32:F34),0)</f>
        <v>1045</v>
      </c>
      <c r="F14" s="60">
        <f>IFERROR(SUM('01_Data_Model'!G32:G34),0)</f>
        <v>179000</v>
      </c>
      <c r="G14" s="60">
        <f>IFERROR(SUM('01_Data_Model'!H32:H34),0)</f>
        <v>25900</v>
      </c>
      <c r="H14" s="60">
        <f t="shared" si="0"/>
        <v>20.887096774193548</v>
      </c>
      <c r="I14" s="61">
        <f t="shared" si="1"/>
        <v>5.9111969111969112</v>
      </c>
      <c r="J14" s="62">
        <f t="shared" si="2"/>
        <v>0.842741935483871</v>
      </c>
      <c r="K14" s="62">
        <f t="shared" si="3"/>
        <v>0.157258064516129</v>
      </c>
      <c r="L14" s="60">
        <f>Monthy_Metrics[[#This Row],[Revenue]]/Monthy_Metrics[[#This Row],[Active Users]]*(1/(Monthy_Metrics[[#This Row],[Churn Rate]]))</f>
        <v>1089.2405839774265</v>
      </c>
    </row>
    <row r="15" spans="3:12">
      <c r="C15" s="58" t="s">
        <v>30</v>
      </c>
      <c r="D15" s="59">
        <f>IFERROR(SUM('01_Data_Model'!E35:E37),0)</f>
        <v>1270</v>
      </c>
      <c r="E15" s="59">
        <f>IFERROR(SUM('01_Data_Model'!F35:F37),0)</f>
        <v>1075</v>
      </c>
      <c r="F15" s="60">
        <f>IFERROR(SUM('01_Data_Model'!G35:G37),0)</f>
        <v>184000</v>
      </c>
      <c r="G15" s="60">
        <f>IFERROR(SUM('01_Data_Model'!H35:H37),0)</f>
        <v>26200</v>
      </c>
      <c r="H15" s="60">
        <f t="shared" si="0"/>
        <v>20.629921259842519</v>
      </c>
      <c r="I15" s="61">
        <f t="shared" si="1"/>
        <v>6.0229007633587788</v>
      </c>
      <c r="J15" s="62">
        <f t="shared" si="2"/>
        <v>0.84645669291338588</v>
      </c>
      <c r="K15" s="62">
        <f t="shared" si="3"/>
        <v>0.15354330708661412</v>
      </c>
      <c r="L15" s="60">
        <f>Monthy_Metrics[[#This Row],[Revenue]]/Monthy_Metrics[[#This Row],[Active Users]]*(1/(Monthy_Metrics[[#This Row],[Churn Rate]]))</f>
        <v>1114.7525342874183</v>
      </c>
    </row>
    <row r="16" spans="3:12">
      <c r="C16" s="58" t="s">
        <v>31</v>
      </c>
      <c r="D16" s="59">
        <f>IFERROR(SUM('01_Data_Model'!E38:E40),0)</f>
        <v>1310</v>
      </c>
      <c r="E16" s="59">
        <f>IFERROR(SUM('01_Data_Model'!F38:F40),0)</f>
        <v>1115</v>
      </c>
      <c r="F16" s="60">
        <f>IFERROR(SUM('01_Data_Model'!G38:G40),0)</f>
        <v>191000</v>
      </c>
      <c r="G16" s="60">
        <f>IFERROR(SUM('01_Data_Model'!H38:H40),0)</f>
        <v>26800</v>
      </c>
      <c r="H16" s="60">
        <f t="shared" si="0"/>
        <v>20.458015267175572</v>
      </c>
      <c r="I16" s="61">
        <f t="shared" si="1"/>
        <v>6.1268656716417906</v>
      </c>
      <c r="J16" s="62">
        <f t="shared" si="2"/>
        <v>0.85114503816793896</v>
      </c>
      <c r="K16" s="62">
        <f t="shared" si="3"/>
        <v>0.14885496183206104</v>
      </c>
      <c r="L16" s="60">
        <f>Monthy_Metrics[[#This Row],[Revenue]]/Monthy_Metrics[[#This Row],[Active Users]]*(1/(Monthy_Metrics[[#This Row],[Churn Rate]]))</f>
        <v>1150.787627917673</v>
      </c>
    </row>
    <row r="17" spans="3:3">
      <c r="C17" s="11"/>
    </row>
    <row r="18" spans="3:3">
      <c r="C18" s="11"/>
    </row>
  </sheetData>
  <phoneticPr fontId="6" type="noConversion"/>
  <pageMargins left="0.7" right="0.7" top="0.75" bottom="0.75" header="0.3" footer="0.3"/>
  <ignoredErrors>
    <ignoredError sqref="F10" formulaRange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F2C99-E39A-47C9-966F-EA7127193FA1}">
  <dimension ref="A1:M35"/>
  <sheetViews>
    <sheetView topLeftCell="A2" workbookViewId="0">
      <selection activeCell="G14" sqref="G14"/>
    </sheetView>
  </sheetViews>
  <sheetFormatPr defaultRowHeight="14.45"/>
  <cols>
    <col min="1" max="1" width="10.7109375" bestFit="1" customWidth="1"/>
    <col min="2" max="2" width="12.42578125" bestFit="1" customWidth="1"/>
    <col min="3" max="3" width="14.28515625" bestFit="1" customWidth="1"/>
    <col min="4" max="4" width="17.28515625" bestFit="1" customWidth="1"/>
    <col min="5" max="5" width="16" bestFit="1" customWidth="1"/>
    <col min="6" max="6" width="20.85546875" bestFit="1" customWidth="1"/>
    <col min="7" max="7" width="16.28515625" bestFit="1" customWidth="1"/>
    <col min="8" max="8" width="10.7109375" bestFit="1" customWidth="1"/>
    <col min="9" max="9" width="20.85546875" bestFit="1" customWidth="1"/>
    <col min="10" max="10" width="16.28515625" bestFit="1" customWidth="1"/>
    <col min="11" max="11" width="16.140625" bestFit="1" customWidth="1"/>
    <col min="12" max="12" width="17.85546875" bestFit="1" customWidth="1"/>
    <col min="13" max="13" width="16.28515625" bestFit="1" customWidth="1"/>
    <col min="14" max="14" width="22.28515625" bestFit="1" customWidth="1"/>
    <col min="15" max="15" width="19.7109375" bestFit="1" customWidth="1"/>
    <col min="16" max="16" width="22.7109375" bestFit="1" customWidth="1"/>
    <col min="17" max="17" width="21.140625" bestFit="1" customWidth="1"/>
    <col min="18" max="18" width="27" bestFit="1" customWidth="1"/>
  </cols>
  <sheetData>
    <row r="1" spans="1:10">
      <c r="A1" s="7" t="s">
        <v>5</v>
      </c>
      <c r="B1" t="s">
        <v>32</v>
      </c>
      <c r="H1" s="7" t="s">
        <v>4</v>
      </c>
      <c r="I1" t="s">
        <v>32</v>
      </c>
    </row>
    <row r="3" spans="1:10">
      <c r="A3" s="7" t="s">
        <v>4</v>
      </c>
      <c r="B3" t="s">
        <v>33</v>
      </c>
      <c r="C3" t="s">
        <v>34</v>
      </c>
      <c r="H3" s="7" t="s">
        <v>5</v>
      </c>
      <c r="I3" t="s">
        <v>35</v>
      </c>
      <c r="J3" t="s">
        <v>36</v>
      </c>
    </row>
    <row r="4" spans="1:10">
      <c r="A4" s="8" t="s">
        <v>17</v>
      </c>
      <c r="B4">
        <v>495</v>
      </c>
      <c r="C4">
        <v>600</v>
      </c>
      <c r="H4" s="8" t="s">
        <v>18</v>
      </c>
      <c r="I4" s="2">
        <v>928000</v>
      </c>
      <c r="J4" s="5">
        <v>2.3354944772104851</v>
      </c>
    </row>
    <row r="5" spans="1:10">
      <c r="A5" s="8" t="s">
        <v>21</v>
      </c>
      <c r="B5">
        <v>620</v>
      </c>
      <c r="C5">
        <v>750</v>
      </c>
      <c r="H5" s="8" t="s">
        <v>19</v>
      </c>
      <c r="I5" s="2">
        <v>467000</v>
      </c>
      <c r="J5" s="5">
        <v>1.7187307415016391</v>
      </c>
    </row>
    <row r="6" spans="1:10">
      <c r="A6" s="8" t="s">
        <v>22</v>
      </c>
      <c r="B6">
        <v>695</v>
      </c>
      <c r="C6">
        <v>830</v>
      </c>
      <c r="H6" s="8" t="s">
        <v>20</v>
      </c>
      <c r="I6" s="2">
        <v>363000</v>
      </c>
      <c r="J6" s="5">
        <v>1.0202690827690826</v>
      </c>
    </row>
    <row r="7" spans="1:10">
      <c r="A7" s="8" t="s">
        <v>23</v>
      </c>
      <c r="B7">
        <v>780</v>
      </c>
      <c r="C7">
        <v>920</v>
      </c>
      <c r="H7" s="8" t="s">
        <v>37</v>
      </c>
      <c r="I7" s="2">
        <v>1758000</v>
      </c>
      <c r="J7" s="5">
        <v>5.0744943014812076</v>
      </c>
    </row>
    <row r="8" spans="1:10">
      <c r="A8" s="8" t="s">
        <v>37</v>
      </c>
      <c r="B8">
        <v>2590</v>
      </c>
      <c r="C8">
        <v>3100</v>
      </c>
    </row>
    <row r="11" spans="1:10">
      <c r="H11" s="7" t="s">
        <v>4</v>
      </c>
      <c r="I11" t="s">
        <v>32</v>
      </c>
    </row>
    <row r="13" spans="1:10">
      <c r="H13" s="7" t="s">
        <v>5</v>
      </c>
      <c r="I13" t="s">
        <v>38</v>
      </c>
      <c r="J13" t="s">
        <v>39</v>
      </c>
    </row>
    <row r="14" spans="1:10">
      <c r="H14" s="8" t="s">
        <v>18</v>
      </c>
      <c r="I14" s="2">
        <v>166800</v>
      </c>
      <c r="J14" s="6">
        <v>53.956327570766561</v>
      </c>
    </row>
    <row r="15" spans="1:10">
      <c r="H15" s="8" t="s">
        <v>19</v>
      </c>
      <c r="I15" s="2">
        <v>66200</v>
      </c>
      <c r="J15" s="6">
        <v>71.359045559865919</v>
      </c>
    </row>
    <row r="16" spans="1:10">
      <c r="H16" s="8" t="s">
        <v>20</v>
      </c>
      <c r="I16" s="2">
        <v>40800</v>
      </c>
      <c r="J16" s="6">
        <v>94.28180677980825</v>
      </c>
    </row>
    <row r="17" spans="2:13">
      <c r="H17" s="8" t="s">
        <v>37</v>
      </c>
      <c r="I17" s="2">
        <v>273800</v>
      </c>
      <c r="J17" s="6">
        <v>219.59717991044073</v>
      </c>
    </row>
    <row r="20" spans="2:13">
      <c r="B20" s="7" t="s">
        <v>5</v>
      </c>
      <c r="C20" t="s">
        <v>32</v>
      </c>
    </row>
    <row r="22" spans="2:13">
      <c r="B22" s="7" t="s">
        <v>40</v>
      </c>
      <c r="C22" t="s">
        <v>35</v>
      </c>
      <c r="D22" t="s">
        <v>33</v>
      </c>
      <c r="E22" t="s">
        <v>34</v>
      </c>
      <c r="F22" t="s">
        <v>38</v>
      </c>
      <c r="G22" t="s">
        <v>36</v>
      </c>
      <c r="H22" t="s">
        <v>41</v>
      </c>
      <c r="I22" t="s">
        <v>39</v>
      </c>
      <c r="J22" t="s">
        <v>42</v>
      </c>
      <c r="K22" t="s">
        <v>43</v>
      </c>
    </row>
    <row r="23" spans="2:13">
      <c r="B23" s="8" t="s">
        <v>17</v>
      </c>
      <c r="C23" s="2">
        <v>85000</v>
      </c>
      <c r="D23">
        <v>495</v>
      </c>
      <c r="E23">
        <v>600</v>
      </c>
      <c r="F23" s="2">
        <v>16000</v>
      </c>
      <c r="G23" s="5">
        <v>0.43541666666666667</v>
      </c>
      <c r="H23" s="5">
        <v>73.472222222222229</v>
      </c>
      <c r="I23" s="6">
        <v>16</v>
      </c>
      <c r="J23" s="10">
        <v>5492.3308270676662</v>
      </c>
      <c r="K23" s="10">
        <v>14737192.98245614</v>
      </c>
    </row>
    <row r="24" spans="2:13">
      <c r="B24" s="8" t="s">
        <v>21</v>
      </c>
      <c r="C24" s="2">
        <v>102000</v>
      </c>
      <c r="D24">
        <v>620</v>
      </c>
      <c r="E24">
        <v>750</v>
      </c>
      <c r="F24" s="2">
        <v>19000</v>
      </c>
      <c r="G24" s="5">
        <v>0.4382867132867132</v>
      </c>
      <c r="H24" s="5">
        <v>69.68531468531468</v>
      </c>
      <c r="I24" s="6">
        <v>15.444444444444445</v>
      </c>
      <c r="J24" s="10">
        <v>3973.0428221090374</v>
      </c>
      <c r="K24" s="10">
        <v>17007357.102433503</v>
      </c>
    </row>
    <row r="25" spans="2:13">
      <c r="B25" s="8" t="s">
        <v>22</v>
      </c>
      <c r="C25" s="2">
        <v>113000</v>
      </c>
      <c r="D25">
        <v>695</v>
      </c>
      <c r="E25">
        <v>830</v>
      </c>
      <c r="F25" s="2">
        <v>20000</v>
      </c>
      <c r="G25" s="5">
        <v>0.41596899224806205</v>
      </c>
      <c r="H25" s="5">
        <v>66.269767441860466</v>
      </c>
      <c r="I25" s="6">
        <v>16.440185185185186</v>
      </c>
      <c r="J25" s="10">
        <v>4284.9304062710362</v>
      </c>
      <c r="K25" s="10">
        <v>18634316.982606996</v>
      </c>
      <c r="M25" s="6"/>
    </row>
    <row r="26" spans="2:13">
      <c r="B26" s="8" t="s">
        <v>23</v>
      </c>
      <c r="C26" s="2">
        <v>126000</v>
      </c>
      <c r="D26">
        <v>780</v>
      </c>
      <c r="E26">
        <v>920</v>
      </c>
      <c r="F26" s="2">
        <v>21000</v>
      </c>
      <c r="G26" s="5">
        <v>0.40398550724637683</v>
      </c>
      <c r="H26" s="5">
        <v>62.784679089026923</v>
      </c>
      <c r="I26" s="6">
        <v>17.420512820512823</v>
      </c>
      <c r="J26" s="10">
        <v>3893.9856368427791</v>
      </c>
      <c r="K26" s="10">
        <v>20674300.088585805</v>
      </c>
    </row>
    <row r="27" spans="2:13">
      <c r="B27" s="8" t="s">
        <v>24</v>
      </c>
      <c r="C27" s="2">
        <v>137000</v>
      </c>
      <c r="D27">
        <v>845</v>
      </c>
      <c r="E27">
        <v>990</v>
      </c>
      <c r="F27" s="2">
        <v>21900</v>
      </c>
      <c r="G27" s="5">
        <v>0.38554421768707481</v>
      </c>
      <c r="H27" s="5">
        <v>60.884353741496597</v>
      </c>
      <c r="I27" s="6">
        <v>18.318910256410255</v>
      </c>
      <c r="J27" s="10">
        <v>4194.6837931200571</v>
      </c>
      <c r="K27" s="10">
        <v>22560562.616593186</v>
      </c>
    </row>
    <row r="28" spans="2:13">
      <c r="B28" s="8" t="s">
        <v>25</v>
      </c>
      <c r="C28" s="2">
        <v>147000</v>
      </c>
      <c r="D28">
        <v>890</v>
      </c>
      <c r="E28">
        <v>1050</v>
      </c>
      <c r="F28" s="2">
        <v>22900</v>
      </c>
      <c r="G28" s="5">
        <v>0.41254578754578752</v>
      </c>
      <c r="H28" s="5">
        <v>60.30105311355311</v>
      </c>
      <c r="I28" s="6">
        <v>18.485867074102369</v>
      </c>
      <c r="J28" s="10">
        <v>3737.894736842105</v>
      </c>
      <c r="K28" s="10">
        <v>24654699.2481203</v>
      </c>
      <c r="L28" s="12">
        <f>GETPIVOTDATA("Sum of LTV",$B$22,"Month","Dec")-GETPIVOTDATA("Sum of LTV",$B$22,"Month","Jan")</f>
        <v>-1625.4756234477577</v>
      </c>
    </row>
    <row r="29" spans="2:13">
      <c r="B29" s="8" t="s">
        <v>26</v>
      </c>
      <c r="C29" s="2">
        <v>157000</v>
      </c>
      <c r="D29">
        <v>935</v>
      </c>
      <c r="E29">
        <v>1100</v>
      </c>
      <c r="F29" s="2">
        <v>23900</v>
      </c>
      <c r="G29" s="5">
        <v>0.40844721727074673</v>
      </c>
      <c r="H29" s="5">
        <v>60.274311744899975</v>
      </c>
      <c r="I29" s="6">
        <v>18.854406130268199</v>
      </c>
      <c r="J29" s="10">
        <v>3854.3425783256284</v>
      </c>
      <c r="K29" s="10">
        <v>26756479.198767334</v>
      </c>
    </row>
    <row r="30" spans="2:13">
      <c r="B30" s="8" t="s">
        <v>27</v>
      </c>
      <c r="C30" s="2">
        <v>165000</v>
      </c>
      <c r="D30">
        <v>975</v>
      </c>
      <c r="E30">
        <v>1160</v>
      </c>
      <c r="F30" s="2">
        <v>24800</v>
      </c>
      <c r="G30" s="5">
        <v>0.44444444444444442</v>
      </c>
      <c r="H30" s="5">
        <v>59.285714285714285</v>
      </c>
      <c r="I30" s="6">
        <v>19.080701754385963</v>
      </c>
      <c r="J30" s="10">
        <v>3482.1820497459084</v>
      </c>
      <c r="K30" s="10">
        <v>28359450.004817903</v>
      </c>
    </row>
    <row r="31" spans="2:13">
      <c r="B31" s="8" t="s">
        <v>28</v>
      </c>
      <c r="C31" s="2">
        <v>172000</v>
      </c>
      <c r="D31">
        <v>1005</v>
      </c>
      <c r="E31">
        <v>1200</v>
      </c>
      <c r="F31" s="2">
        <v>25400</v>
      </c>
      <c r="G31" s="5">
        <v>0.4518173345759553</v>
      </c>
      <c r="H31" s="5">
        <v>58.9636533084809</v>
      </c>
      <c r="I31" s="6">
        <v>19.340407470288625</v>
      </c>
      <c r="J31" s="10">
        <v>3524.7249433248062</v>
      </c>
      <c r="K31" s="10">
        <v>29819849.004804395</v>
      </c>
    </row>
    <row r="32" spans="2:13">
      <c r="B32" s="8" t="s">
        <v>29</v>
      </c>
      <c r="C32" s="2">
        <v>179000</v>
      </c>
      <c r="D32">
        <v>1045</v>
      </c>
      <c r="E32">
        <v>1240</v>
      </c>
      <c r="F32" s="2">
        <v>25900</v>
      </c>
      <c r="G32" s="5">
        <v>0.4373819163292848</v>
      </c>
      <c r="H32" s="5">
        <v>58.181511470985157</v>
      </c>
      <c r="I32" s="6">
        <v>19.707953991982315</v>
      </c>
      <c r="J32" s="10">
        <v>3633.8289977499699</v>
      </c>
      <c r="K32" s="10">
        <v>31058184.976118106</v>
      </c>
    </row>
    <row r="33" spans="2:11">
      <c r="B33" s="8" t="s">
        <v>30</v>
      </c>
      <c r="C33" s="2">
        <v>184000</v>
      </c>
      <c r="D33">
        <v>1075</v>
      </c>
      <c r="E33">
        <v>1270</v>
      </c>
      <c r="F33" s="2">
        <v>26200</v>
      </c>
      <c r="G33" s="5">
        <v>0.42676661529120541</v>
      </c>
      <c r="H33" s="5">
        <v>57.539582457615246</v>
      </c>
      <c r="I33" s="6">
        <v>20.013965201465201</v>
      </c>
      <c r="J33" s="10">
        <v>3724.6777983920847</v>
      </c>
      <c r="K33" s="10">
        <v>31901635.126777984</v>
      </c>
    </row>
    <row r="34" spans="2:11">
      <c r="B34" s="8" t="s">
        <v>31</v>
      </c>
      <c r="C34" s="2">
        <v>191000</v>
      </c>
      <c r="D34">
        <v>1115</v>
      </c>
      <c r="E34">
        <v>1310</v>
      </c>
      <c r="F34" s="2">
        <v>26800</v>
      </c>
      <c r="G34" s="5">
        <v>0.41388888888888897</v>
      </c>
      <c r="H34" s="5">
        <v>57.003968253968253</v>
      </c>
      <c r="I34" s="6">
        <v>20.489825581395351</v>
      </c>
      <c r="J34" s="10">
        <v>3866.8552036199085</v>
      </c>
      <c r="K34" s="10">
        <v>33075527.903469082</v>
      </c>
    </row>
    <row r="35" spans="2:11">
      <c r="B35" s="8" t="s">
        <v>37</v>
      </c>
      <c r="C35" s="2">
        <v>1758000</v>
      </c>
      <c r="D35">
        <v>10475</v>
      </c>
      <c r="E35">
        <v>12420</v>
      </c>
      <c r="F35" s="2">
        <v>273800</v>
      </c>
      <c r="G35" s="5">
        <v>5.0744943014812067</v>
      </c>
      <c r="H35" s="5">
        <v>744.64613181513778</v>
      </c>
      <c r="I35" s="6">
        <v>219.59717991044073</v>
      </c>
      <c r="J35" s="10">
        <v>47663.479793410988</v>
      </c>
      <c r="K35" s="10">
        <v>299239555.23555076</v>
      </c>
    </row>
  </sheetData>
  <pageMargins left="0.7" right="0.7" top="0.75" bottom="0.75" header="0.3" footer="0.3"/>
  <pageSetup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62B05-1A3C-4AEA-9A93-84721B8E334C}">
  <dimension ref="C3:I8"/>
  <sheetViews>
    <sheetView workbookViewId="0">
      <selection activeCell="D6" sqref="D6"/>
    </sheetView>
  </sheetViews>
  <sheetFormatPr defaultRowHeight="15.6"/>
  <cols>
    <col min="3" max="3" width="33.7109375" style="9" bestFit="1" customWidth="1"/>
    <col min="4" max="4" width="28.28515625" customWidth="1"/>
    <col min="5" max="5" width="21.28515625" customWidth="1"/>
    <col min="6" max="6" width="11.140625" customWidth="1"/>
  </cols>
  <sheetData>
    <row r="3" spans="3:9">
      <c r="D3" s="2"/>
    </row>
    <row r="4" spans="3:9">
      <c r="C4" s="14" t="s">
        <v>44</v>
      </c>
      <c r="D4" s="15" t="s">
        <v>45</v>
      </c>
      <c r="E4" s="15" t="s">
        <v>46</v>
      </c>
      <c r="F4" s="15" t="s">
        <v>47</v>
      </c>
    </row>
    <row r="5" spans="3:9">
      <c r="C5" s="9" t="s">
        <v>10</v>
      </c>
      <c r="D5">
        <f>GETPIVOTDATA("Sum of CAC",'03_Analysis_Pivots'!$B$22,"Month","Dec")</f>
        <v>57.003968253968253</v>
      </c>
      <c r="E5">
        <f>GETPIVOTDATA("Sum of CAC",'03_Analysis_Pivots'!$B$22,"Month","Jan")</f>
        <v>73.472222222222229</v>
      </c>
      <c r="F5" s="6">
        <f>(D5-E5)/E5</f>
        <v>-0.22414258709154747</v>
      </c>
    </row>
    <row r="6" spans="3:9">
      <c r="C6" s="9" t="s">
        <v>14</v>
      </c>
      <c r="D6">
        <f>GETPIVOTDATA("Sum of LTV",'03_Analysis_Pivots'!$B$22,"Month","Dec")</f>
        <v>3866.8552036199085</v>
      </c>
      <c r="E6">
        <f>GETPIVOTDATA("Sum of LTV",'03_Analysis_Pivots'!$B$22,"Month","Jan")</f>
        <v>5492.3308270676662</v>
      </c>
      <c r="F6" s="6">
        <f>(D6-E6)/E6</f>
        <v>-0.29595369882618539</v>
      </c>
      <c r="I6" s="10"/>
    </row>
    <row r="7" spans="3:9">
      <c r="C7" s="9" t="s">
        <v>16</v>
      </c>
      <c r="D7">
        <f>GETPIVOTDATA("Sum of MRR",'03_Analysis_Pivots'!$B$22,"Month","Dec")</f>
        <v>33075527.903469082</v>
      </c>
      <c r="E7">
        <f>GETPIVOTDATA("Sum of MRR",'03_Analysis_Pivots'!$B$22,"Month","Jan")</f>
        <v>14737192.98245614</v>
      </c>
      <c r="F7" s="6">
        <f>(D7-E7)/E7</f>
        <v>1.2443573849405225</v>
      </c>
    </row>
    <row r="8" spans="3:9">
      <c r="C8" s="9" t="s">
        <v>13</v>
      </c>
      <c r="D8">
        <f>GETPIVOTDATA("Sum of Churn Rate",'03_Analysis_Pivots'!$B$22,"Month","Dec")</f>
        <v>0.41388888888888897</v>
      </c>
      <c r="E8">
        <f>GETPIVOTDATA("Sum of Churn Rate",'03_Analysis_Pivots'!$B$22,"Month","Jan")</f>
        <v>0.43541666666666667</v>
      </c>
      <c r="F8" s="6">
        <f>(D8-E8)/E8</f>
        <v>-4.944178628389137E-2</v>
      </c>
    </row>
  </sheetData>
  <conditionalFormatting sqref="F5:F8">
    <cfRule type="cellIs" dxfId="20" priority="1" operator="lessThan">
      <formula>0</formula>
    </cfRule>
    <cfRule type="cellIs" dxfId="19" priority="2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0499-57A0-423C-9F44-4F3A47E54041}">
  <dimension ref="AA2:BB109"/>
  <sheetViews>
    <sheetView showGridLines="0" topLeftCell="AA75" workbookViewId="0">
      <selection activeCell="AL27" sqref="AL27"/>
    </sheetView>
  </sheetViews>
  <sheetFormatPr defaultRowHeight="15"/>
  <cols>
    <col min="1" max="1" width="8.85546875" customWidth="1"/>
    <col min="21" max="21" width="16.85546875" customWidth="1"/>
  </cols>
  <sheetData>
    <row r="2" spans="28:50" ht="14.45" customHeight="1"/>
    <row r="3" spans="28:50" ht="14.45" customHeight="1"/>
    <row r="4" spans="28:50" ht="14.45" customHeight="1">
      <c r="AE4" s="180" t="s">
        <v>48</v>
      </c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</row>
    <row r="5" spans="28:50" ht="14.45" customHeight="1"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</row>
    <row r="6" spans="28:50" ht="14.45" customHeight="1">
      <c r="AC6" s="15"/>
      <c r="AE6" s="180"/>
      <c r="AF6" s="180"/>
      <c r="AG6" s="180"/>
      <c r="AH6" s="180"/>
      <c r="AI6" s="180"/>
      <c r="AJ6" s="180"/>
      <c r="AK6" s="180"/>
      <c r="AL6" s="180"/>
      <c r="AM6" s="180"/>
      <c r="AN6" s="180"/>
      <c r="AO6" s="180"/>
      <c r="AP6" s="180"/>
      <c r="AQ6" s="180"/>
    </row>
    <row r="7" spans="28:50" ht="21.75" customHeight="1">
      <c r="AE7" s="180"/>
      <c r="AF7" s="180"/>
      <c r="AG7" s="180"/>
      <c r="AH7" s="180"/>
      <c r="AI7" s="180"/>
      <c r="AJ7" s="180"/>
      <c r="AK7" s="180"/>
      <c r="AL7" s="180"/>
      <c r="AM7" s="180"/>
      <c r="AN7" s="180"/>
      <c r="AO7" s="180"/>
      <c r="AP7" s="180"/>
      <c r="AQ7" s="180"/>
    </row>
    <row r="8" spans="28:50" ht="15.75">
      <c r="AK8" s="109" t="s">
        <v>49</v>
      </c>
      <c r="AL8" s="110"/>
      <c r="AM8" s="111"/>
      <c r="AX8" s="13"/>
    </row>
    <row r="9" spans="28:50" ht="15.75">
      <c r="AK9" s="16"/>
      <c r="AL9" s="16"/>
      <c r="AM9" s="16"/>
      <c r="AX9" s="13"/>
    </row>
    <row r="10" spans="28:50" ht="15.75">
      <c r="AB10" s="18"/>
      <c r="AC10" s="18"/>
      <c r="AD10" s="18"/>
      <c r="AK10" s="16"/>
      <c r="AL10" s="16"/>
      <c r="AM10" s="16"/>
      <c r="AX10" s="13"/>
    </row>
    <row r="11" spans="28:50" ht="15.75">
      <c r="AB11" s="97" t="s">
        <v>50</v>
      </c>
      <c r="AC11" s="98"/>
      <c r="AD11" s="99"/>
      <c r="AK11" s="16"/>
      <c r="AL11" s="16"/>
      <c r="AM11" s="16"/>
      <c r="AX11" s="13"/>
    </row>
    <row r="12" spans="28:50">
      <c r="AB12" s="100"/>
      <c r="AC12" s="101"/>
      <c r="AD12" s="102"/>
    </row>
    <row r="14" spans="28:50">
      <c r="AN14" s="6"/>
    </row>
    <row r="15" spans="28:50">
      <c r="AE15" s="18"/>
      <c r="AI15" s="2"/>
      <c r="AQ15" s="6"/>
    </row>
    <row r="16" spans="28:50" ht="27.75">
      <c r="AE16" s="112" t="s">
        <v>51</v>
      </c>
      <c r="AF16" s="113"/>
      <c r="AG16" s="114"/>
      <c r="AH16" s="31"/>
      <c r="AI16" s="112" t="s">
        <v>52</v>
      </c>
      <c r="AJ16" s="113"/>
      <c r="AK16" s="114"/>
      <c r="AL16" s="30"/>
      <c r="AM16" s="118" t="s">
        <v>53</v>
      </c>
      <c r="AN16" s="118"/>
      <c r="AO16" s="118"/>
      <c r="AQ16" s="119" t="s">
        <v>54</v>
      </c>
      <c r="AR16" s="119"/>
      <c r="AS16" s="119"/>
      <c r="AT16" s="190"/>
      <c r="AU16" s="190"/>
      <c r="AV16" s="190"/>
      <c r="AW16" s="190"/>
    </row>
    <row r="17" spans="27:54" ht="14.45" customHeight="1">
      <c r="AE17" s="115"/>
      <c r="AF17" s="116"/>
      <c r="AG17" s="117"/>
      <c r="AI17" s="115"/>
      <c r="AJ17" s="116"/>
      <c r="AK17" s="117"/>
      <c r="AL17" s="30"/>
      <c r="AM17" s="118"/>
      <c r="AN17" s="118"/>
      <c r="AO17" s="118"/>
      <c r="AQ17" s="119"/>
      <c r="AR17" s="119"/>
      <c r="AS17" s="119"/>
      <c r="AT17" s="190"/>
      <c r="AU17" s="190"/>
      <c r="AV17" s="190"/>
      <c r="AW17" s="190"/>
    </row>
    <row r="18" spans="27:54" ht="14.45" customHeight="1">
      <c r="AE18" s="120" t="str">
        <f>"₹"&amp;ROUND('04_KPI_Engine'!D5,0)</f>
        <v>₹57</v>
      </c>
      <c r="AF18" s="121"/>
      <c r="AG18" s="122"/>
      <c r="AI18" s="126" t="str">
        <f>"₹"&amp;ROUND('04_KPI_Engine'!D6/1000,2)&amp;"K"</f>
        <v>₹3.87K</v>
      </c>
      <c r="AJ18" s="127"/>
      <c r="AK18" s="128"/>
      <c r="AM18" s="132" t="str">
        <f>"₹"&amp;ROUND('04_KPI_Engine'!D7/10000000,2)&amp; "cr"</f>
        <v>₹3.31cr</v>
      </c>
      <c r="AN18" s="133"/>
      <c r="AO18" s="134"/>
      <c r="AQ18" s="138">
        <f>ROUND('04_KPI_Engine'!D8,2)</f>
        <v>0.41</v>
      </c>
      <c r="AR18" s="139"/>
      <c r="AS18" s="140"/>
      <c r="AT18" s="188"/>
      <c r="AU18" s="188"/>
      <c r="AV18" s="188"/>
      <c r="AW18" s="188"/>
    </row>
    <row r="19" spans="27:54" s="43" customFormat="1" ht="28.5">
      <c r="AA19"/>
      <c r="AB19"/>
      <c r="AC19"/>
      <c r="AD19"/>
      <c r="AE19" s="123"/>
      <c r="AF19" s="124"/>
      <c r="AG19" s="125"/>
      <c r="AH19"/>
      <c r="AI19" s="129"/>
      <c r="AJ19" s="130"/>
      <c r="AK19" s="131"/>
      <c r="AL19"/>
      <c r="AM19" s="135"/>
      <c r="AN19" s="136"/>
      <c r="AO19" s="137"/>
      <c r="AP19"/>
      <c r="AQ19" s="141"/>
      <c r="AR19" s="142"/>
      <c r="AS19" s="143"/>
      <c r="AT19" s="188"/>
      <c r="AU19" s="188"/>
      <c r="AV19" s="188"/>
      <c r="AW19" s="188"/>
      <c r="AX19"/>
      <c r="AY19"/>
      <c r="AZ19"/>
      <c r="BA19"/>
      <c r="BB19"/>
    </row>
    <row r="20" spans="27:54">
      <c r="AA20" s="43"/>
      <c r="AB20" s="43"/>
      <c r="AC20" s="43"/>
      <c r="AD20" s="43"/>
      <c r="AE20" s="44"/>
      <c r="AF20" s="45" t="str">
        <f>" ("&amp;IF('04_KPI_Engine'!F5&lt;0,"▼ ","▲ ")&amp;TEXT(ABS('04_KPI_Engine'!F5),"0.0%")&amp;")"</f>
        <v xml:space="preserve"> (▼ 22.4%)</v>
      </c>
      <c r="AG20" s="46"/>
      <c r="AH20" s="43"/>
      <c r="AI20" s="44"/>
      <c r="AJ20" s="42" t="str">
        <f>" ("&amp;IF('04_KPI_Engine'!F6&lt;0,"▼ ","▲ ")&amp;TEXT(ABS('04_KPI_Engine'!F6),"0.0%")&amp;")"</f>
        <v xml:space="preserve"> (▼ 29.6%)</v>
      </c>
      <c r="AK20" s="46"/>
      <c r="AL20" s="43"/>
      <c r="AM20" s="44"/>
      <c r="AN20" s="42" t="str">
        <f>" ("&amp;IF('04_KPI_Engine'!F7&lt;0,"▼ ","▲ ")&amp;TEXT(ABS('04_KPI_Engine'!F7),"0.0%")&amp;")"</f>
        <v xml:space="preserve"> (▲ 124.4%)</v>
      </c>
      <c r="AO20" s="46"/>
      <c r="AP20" s="43"/>
      <c r="AQ20" s="44"/>
      <c r="AR20" s="47" t="str">
        <f>" ("&amp;IF('04_KPI_Engine'!F8&lt;0,"▼ ","▲ ")&amp;TEXT(ABS('04_KPI_Engine'!F8),"0.0%")&amp;")"</f>
        <v xml:space="preserve"> (▼ 4.9%)</v>
      </c>
      <c r="AS20" s="46"/>
      <c r="AT20" s="189"/>
      <c r="AU20" s="189"/>
      <c r="AV20" s="189"/>
      <c r="AW20" s="189"/>
      <c r="AX20" s="43"/>
      <c r="AY20" s="43"/>
      <c r="AZ20" s="43"/>
      <c r="BA20" s="43"/>
      <c r="BB20" s="43"/>
    </row>
    <row r="23" spans="27:54">
      <c r="AB23" s="18"/>
      <c r="AC23" s="18"/>
      <c r="AD23" s="18"/>
    </row>
    <row r="24" spans="27:54">
      <c r="AA24" s="19"/>
      <c r="AB24" s="98" t="s">
        <v>55</v>
      </c>
      <c r="AC24" s="98"/>
      <c r="AD24" s="99"/>
      <c r="AE24" s="30"/>
    </row>
    <row r="25" spans="27:54">
      <c r="AA25" s="19"/>
      <c r="AB25" s="101"/>
      <c r="AC25" s="101"/>
      <c r="AD25" s="102"/>
      <c r="AE25" s="30"/>
    </row>
    <row r="29" spans="27:54">
      <c r="AC29" s="21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5"/>
    </row>
    <row r="30" spans="27:54">
      <c r="AC30" s="23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6"/>
    </row>
    <row r="31" spans="27:54">
      <c r="AC31" s="23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6"/>
    </row>
    <row r="32" spans="27:54">
      <c r="AC32" s="23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6"/>
    </row>
    <row r="33" spans="29:52">
      <c r="AC33" s="23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6"/>
    </row>
    <row r="34" spans="29:52">
      <c r="AC34" s="23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6"/>
    </row>
    <row r="35" spans="29:52">
      <c r="AC35" s="23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6"/>
      <c r="AZ35" s="187"/>
    </row>
    <row r="36" spans="29:52">
      <c r="AC36" s="23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6"/>
      <c r="AZ36" s="187"/>
    </row>
    <row r="37" spans="29:52">
      <c r="AC37" s="23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6"/>
      <c r="AZ37" s="187"/>
    </row>
    <row r="38" spans="29:52">
      <c r="AC38" s="23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6"/>
      <c r="AZ38" s="187"/>
    </row>
    <row r="39" spans="29:52">
      <c r="AC39" s="23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6"/>
      <c r="AZ39" s="187"/>
    </row>
    <row r="40" spans="29:52">
      <c r="AC40" s="23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6"/>
      <c r="AZ40" s="187"/>
    </row>
    <row r="41" spans="29:52">
      <c r="AC41" s="23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6"/>
      <c r="AZ41" s="187"/>
    </row>
    <row r="42" spans="29:52">
      <c r="AC42" s="23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6"/>
      <c r="AZ42" s="187"/>
    </row>
    <row r="43" spans="29:52">
      <c r="AC43" s="23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6"/>
      <c r="AZ43" s="187"/>
    </row>
    <row r="44" spans="29:52">
      <c r="AC44" s="23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6"/>
      <c r="AZ44" s="187"/>
    </row>
    <row r="45" spans="29:52">
      <c r="AC45" s="23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6"/>
      <c r="AZ45" s="187"/>
    </row>
    <row r="46" spans="29:52">
      <c r="AC46" s="23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6"/>
      <c r="AZ46" s="187"/>
    </row>
    <row r="47" spans="29:52">
      <c r="AC47" s="23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6"/>
      <c r="AZ47" s="187"/>
    </row>
    <row r="48" spans="29:52">
      <c r="AC48" s="23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6"/>
      <c r="AZ48" s="187"/>
    </row>
    <row r="49" spans="29:51">
      <c r="AC49" s="23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6"/>
    </row>
    <row r="50" spans="29:51">
      <c r="AC50" s="23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6"/>
    </row>
    <row r="51" spans="29:51">
      <c r="AC51" s="23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6"/>
    </row>
    <row r="52" spans="29:51">
      <c r="AC52" s="23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6"/>
    </row>
    <row r="53" spans="29:51">
      <c r="AC53" s="23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6"/>
    </row>
    <row r="54" spans="29:51">
      <c r="AC54" s="23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6"/>
    </row>
    <row r="55" spans="29:51">
      <c r="AC55" s="23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6"/>
    </row>
    <row r="56" spans="29:51">
      <c r="AC56" s="23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6"/>
    </row>
    <row r="57" spans="29:51">
      <c r="AC57" s="23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6"/>
    </row>
    <row r="58" spans="29:51">
      <c r="AC58" s="23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6"/>
    </row>
    <row r="59" spans="29:51">
      <c r="AC59" s="23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6"/>
    </row>
    <row r="60" spans="29:51">
      <c r="AC60" s="23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6"/>
    </row>
    <row r="61" spans="29:51">
      <c r="AC61" s="23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6"/>
    </row>
    <row r="62" spans="29:51">
      <c r="AC62" s="23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6"/>
    </row>
    <row r="63" spans="29:51">
      <c r="AC63" s="23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6"/>
    </row>
    <row r="64" spans="29:51">
      <c r="AC64" s="23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6"/>
    </row>
    <row r="65" spans="28:51">
      <c r="AC65" s="23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6"/>
    </row>
    <row r="66" spans="28:51">
      <c r="AC66" s="23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6"/>
    </row>
    <row r="67" spans="28:51">
      <c r="AC67" s="23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6"/>
    </row>
    <row r="68" spans="28:51">
      <c r="AC68" s="27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9"/>
    </row>
    <row r="72" spans="28:51">
      <c r="AB72" s="103" t="s">
        <v>56</v>
      </c>
      <c r="AC72" s="104"/>
      <c r="AD72" s="105"/>
    </row>
    <row r="73" spans="28:51">
      <c r="AB73" s="106"/>
      <c r="AC73" s="107"/>
      <c r="AD73" s="108"/>
      <c r="AI73" s="17"/>
    </row>
    <row r="77" spans="28:51">
      <c r="AB77" s="32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4"/>
    </row>
    <row r="78" spans="28:51" ht="18.75">
      <c r="AB78" s="93" t="s">
        <v>57</v>
      </c>
      <c r="AC78" s="94"/>
      <c r="AD78" s="94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6"/>
    </row>
    <row r="79" spans="28:51" ht="18.75" customHeight="1">
      <c r="AB79" s="182" t="s">
        <v>58</v>
      </c>
      <c r="AC79" s="183"/>
      <c r="AD79" s="183"/>
      <c r="AE79" s="183"/>
      <c r="AF79" s="183"/>
      <c r="AG79" s="183"/>
      <c r="AH79" s="183"/>
      <c r="AI79" s="183"/>
      <c r="AJ79" s="183"/>
      <c r="AK79" s="183"/>
      <c r="AL79" s="183"/>
      <c r="AM79" s="183"/>
      <c r="AN79" s="183"/>
      <c r="AO79" s="183"/>
      <c r="AP79" s="183"/>
      <c r="AQ79" s="183"/>
      <c r="AR79" s="183"/>
      <c r="AS79" s="183"/>
      <c r="AT79" s="183"/>
      <c r="AU79" s="183"/>
      <c r="AV79" s="183"/>
      <c r="AW79" s="183"/>
      <c r="AX79" s="183"/>
      <c r="AY79" s="184"/>
    </row>
    <row r="80" spans="28:51" ht="15" customHeight="1">
      <c r="AB80" s="182"/>
      <c r="AC80" s="183"/>
      <c r="AD80" s="183"/>
      <c r="AE80" s="183"/>
      <c r="AF80" s="183"/>
      <c r="AG80" s="183"/>
      <c r="AH80" s="183"/>
      <c r="AI80" s="183"/>
      <c r="AJ80" s="183"/>
      <c r="AK80" s="183"/>
      <c r="AL80" s="183"/>
      <c r="AM80" s="183"/>
      <c r="AN80" s="183"/>
      <c r="AO80" s="183"/>
      <c r="AP80" s="183"/>
      <c r="AQ80" s="183"/>
      <c r="AR80" s="183"/>
      <c r="AS80" s="183"/>
      <c r="AT80" s="183"/>
      <c r="AU80" s="183"/>
      <c r="AV80" s="183"/>
      <c r="AW80" s="183"/>
      <c r="AX80" s="183"/>
      <c r="AY80" s="184"/>
    </row>
    <row r="81" spans="28:51" ht="15" customHeight="1">
      <c r="AB81" s="182"/>
      <c r="AC81" s="183"/>
      <c r="AD81" s="183"/>
      <c r="AE81" s="183"/>
      <c r="AF81" s="183"/>
      <c r="AG81" s="183"/>
      <c r="AH81" s="183"/>
      <c r="AI81" s="183"/>
      <c r="AJ81" s="183"/>
      <c r="AK81" s="183"/>
      <c r="AL81" s="183"/>
      <c r="AM81" s="183"/>
      <c r="AN81" s="183"/>
      <c r="AO81" s="183"/>
      <c r="AP81" s="183"/>
      <c r="AQ81" s="183"/>
      <c r="AR81" s="183"/>
      <c r="AS81" s="183"/>
      <c r="AT81" s="183"/>
      <c r="AU81" s="183"/>
      <c r="AV81" s="183"/>
      <c r="AW81" s="183"/>
      <c r="AX81" s="183"/>
      <c r="AY81" s="184"/>
    </row>
    <row r="82" spans="28:51">
      <c r="AB82" s="37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6"/>
    </row>
    <row r="83" spans="28:51" ht="18.75">
      <c r="AB83" s="95" t="s">
        <v>59</v>
      </c>
      <c r="AC83" s="96"/>
      <c r="AD83" s="96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6"/>
    </row>
    <row r="84" spans="28:51" ht="10.5" customHeight="1">
      <c r="AB84" s="65"/>
      <c r="AC84" s="66"/>
      <c r="AD84" s="66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6"/>
    </row>
    <row r="85" spans="28:51">
      <c r="AB85" s="182" t="s">
        <v>60</v>
      </c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  <c r="AP85" s="89"/>
      <c r="AQ85" s="89"/>
      <c r="AR85" s="89"/>
      <c r="AS85" s="89"/>
      <c r="AT85" s="89"/>
      <c r="AU85" s="89"/>
      <c r="AV85" s="89"/>
      <c r="AW85" s="89"/>
      <c r="AX85" s="89"/>
      <c r="AY85" s="90"/>
    </row>
    <row r="86" spans="28:51">
      <c r="AB86" s="88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  <c r="AO86" s="89"/>
      <c r="AP86" s="89"/>
      <c r="AQ86" s="89"/>
      <c r="AR86" s="89"/>
      <c r="AS86" s="89"/>
      <c r="AT86" s="89"/>
      <c r="AU86" s="89"/>
      <c r="AV86" s="89"/>
      <c r="AW86" s="89"/>
      <c r="AX86" s="89"/>
      <c r="AY86" s="90"/>
    </row>
    <row r="87" spans="28:51">
      <c r="AB87" s="37"/>
      <c r="AC87" s="35"/>
      <c r="AD87" s="35"/>
      <c r="AE87" s="35"/>
      <c r="AF87" s="35"/>
      <c r="AG87" s="35"/>
      <c r="AH87" s="38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6"/>
    </row>
    <row r="88" spans="28:51" ht="18.75">
      <c r="AB88" s="91" t="s">
        <v>61</v>
      </c>
      <c r="AC88" s="92"/>
      <c r="AD88" s="92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6"/>
    </row>
    <row r="89" spans="28:51" ht="18.75">
      <c r="AB89" s="63"/>
      <c r="AC89" s="64"/>
      <c r="AD89" s="64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6"/>
    </row>
    <row r="90" spans="28:51">
      <c r="AB90" s="182" t="s">
        <v>62</v>
      </c>
      <c r="AC90" s="89"/>
      <c r="AD90" s="89"/>
      <c r="AE90" s="89"/>
      <c r="AF90" s="89"/>
      <c r="AG90" s="89"/>
      <c r="AH90" s="89"/>
      <c r="AI90" s="89"/>
      <c r="AJ90" s="89"/>
      <c r="AK90" s="89"/>
      <c r="AL90" s="89"/>
      <c r="AM90" s="89"/>
      <c r="AN90" s="89"/>
      <c r="AO90" s="89"/>
      <c r="AP90" s="89"/>
      <c r="AQ90" s="89"/>
      <c r="AR90" s="89"/>
      <c r="AS90" s="89"/>
      <c r="AT90" s="89"/>
      <c r="AU90" s="89"/>
      <c r="AV90" s="89"/>
      <c r="AW90" s="89"/>
      <c r="AX90" s="89"/>
      <c r="AY90" s="90"/>
    </row>
    <row r="91" spans="28:51">
      <c r="AB91" s="88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89"/>
      <c r="AO91" s="89"/>
      <c r="AP91" s="89"/>
      <c r="AQ91" s="89"/>
      <c r="AR91" s="89"/>
      <c r="AS91" s="89"/>
      <c r="AT91" s="89"/>
      <c r="AU91" s="89"/>
      <c r="AV91" s="89"/>
      <c r="AW91" s="89"/>
      <c r="AX91" s="89"/>
      <c r="AY91" s="90"/>
    </row>
    <row r="92" spans="28:51">
      <c r="AB92" s="37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6"/>
    </row>
    <row r="93" spans="28:51" ht="18.75">
      <c r="AB93" s="91" t="s">
        <v>63</v>
      </c>
      <c r="AC93" s="92"/>
      <c r="AD93" s="92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6"/>
    </row>
    <row r="94" spans="28:51">
      <c r="AB94" s="182" t="s">
        <v>64</v>
      </c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  <c r="AP94" s="89"/>
      <c r="AQ94" s="89"/>
      <c r="AR94" s="89"/>
      <c r="AS94" s="89"/>
      <c r="AT94" s="89"/>
      <c r="AU94" s="89"/>
      <c r="AV94" s="89"/>
      <c r="AW94" s="89"/>
      <c r="AX94" s="89"/>
      <c r="AY94" s="90"/>
    </row>
    <row r="95" spans="28:51">
      <c r="AB95" s="88"/>
      <c r="AC95" s="89"/>
      <c r="AD95" s="89"/>
      <c r="AE95" s="89"/>
      <c r="AF95" s="89"/>
      <c r="AG95" s="89"/>
      <c r="AH95" s="89"/>
      <c r="AI95" s="89"/>
      <c r="AJ95" s="89"/>
      <c r="AK95" s="89"/>
      <c r="AL95" s="89"/>
      <c r="AM95" s="89"/>
      <c r="AN95" s="89"/>
      <c r="AO95" s="89"/>
      <c r="AP95" s="89"/>
      <c r="AQ95" s="89"/>
      <c r="AR95" s="89"/>
      <c r="AS95" s="89"/>
      <c r="AT95" s="89"/>
      <c r="AU95" s="89"/>
      <c r="AV95" s="89"/>
      <c r="AW95" s="89"/>
      <c r="AX95" s="89"/>
      <c r="AY95" s="90"/>
    </row>
    <row r="96" spans="28:51">
      <c r="AB96" s="37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6"/>
    </row>
    <row r="97" spans="28:51" ht="18.75">
      <c r="AB97" s="91" t="s">
        <v>65</v>
      </c>
      <c r="AC97" s="92"/>
      <c r="AD97" s="92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6"/>
    </row>
    <row r="98" spans="28:51">
      <c r="AB98" s="182" t="s">
        <v>66</v>
      </c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89"/>
      <c r="AO98" s="89"/>
      <c r="AP98" s="89"/>
      <c r="AQ98" s="89"/>
      <c r="AR98" s="89"/>
      <c r="AS98" s="89"/>
      <c r="AT98" s="89"/>
      <c r="AU98" s="89"/>
      <c r="AV98" s="89"/>
      <c r="AW98" s="89"/>
      <c r="AX98" s="89"/>
      <c r="AY98" s="90"/>
    </row>
    <row r="99" spans="28:51">
      <c r="AB99" s="88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89"/>
      <c r="AN99" s="89"/>
      <c r="AO99" s="89"/>
      <c r="AP99" s="89"/>
      <c r="AQ99" s="89"/>
      <c r="AR99" s="89"/>
      <c r="AS99" s="89"/>
      <c r="AT99" s="89"/>
      <c r="AU99" s="89"/>
      <c r="AV99" s="89"/>
      <c r="AW99" s="89"/>
      <c r="AX99" s="89"/>
      <c r="AY99" s="90"/>
    </row>
    <row r="100" spans="28:51">
      <c r="AB100" s="37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6"/>
    </row>
    <row r="101" spans="28:51" ht="18.75">
      <c r="AB101" s="91" t="s">
        <v>67</v>
      </c>
      <c r="AC101" s="92"/>
      <c r="AD101" s="92"/>
      <c r="AE101" s="92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6"/>
    </row>
    <row r="102" spans="28:51" ht="18.75">
      <c r="AB102" s="63"/>
      <c r="AC102" s="64"/>
      <c r="AD102" s="64"/>
      <c r="AE102" s="64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6"/>
    </row>
    <row r="103" spans="28:51" ht="15" customHeight="1">
      <c r="AB103" s="181" t="s">
        <v>68</v>
      </c>
      <c r="AC103" s="185"/>
      <c r="AD103" s="185"/>
      <c r="AE103" s="185"/>
      <c r="AF103" s="185"/>
      <c r="AG103" s="185"/>
      <c r="AH103" s="185"/>
      <c r="AI103" s="185"/>
      <c r="AJ103" s="185"/>
      <c r="AK103" s="185"/>
      <c r="AL103" s="185"/>
      <c r="AM103" s="185"/>
      <c r="AN103" s="185"/>
      <c r="AO103" s="185"/>
      <c r="AP103" s="185"/>
      <c r="AQ103" s="185"/>
      <c r="AR103" s="185"/>
      <c r="AS103" s="185"/>
      <c r="AT103" s="185"/>
      <c r="AU103" s="185"/>
      <c r="AV103" s="185"/>
      <c r="AW103" s="185"/>
      <c r="AX103" s="185"/>
      <c r="AY103" s="186"/>
    </row>
    <row r="104" spans="28:51" ht="15.6" customHeight="1">
      <c r="AB104" s="181"/>
      <c r="AC104" s="185"/>
      <c r="AD104" s="185"/>
      <c r="AE104" s="185"/>
      <c r="AF104" s="185"/>
      <c r="AG104" s="185"/>
      <c r="AH104" s="185"/>
      <c r="AI104" s="185"/>
      <c r="AJ104" s="185"/>
      <c r="AK104" s="185"/>
      <c r="AL104" s="185"/>
      <c r="AM104" s="185"/>
      <c r="AN104" s="185"/>
      <c r="AO104" s="185"/>
      <c r="AP104" s="185"/>
      <c r="AQ104" s="185"/>
      <c r="AR104" s="185"/>
      <c r="AS104" s="185"/>
      <c r="AT104" s="185"/>
      <c r="AU104" s="185"/>
      <c r="AV104" s="185"/>
      <c r="AW104" s="185"/>
      <c r="AX104" s="185"/>
      <c r="AY104" s="186"/>
    </row>
    <row r="105" spans="28:51" ht="15.6" customHeight="1">
      <c r="AB105" s="181"/>
      <c r="AC105" s="185"/>
      <c r="AD105" s="185"/>
      <c r="AE105" s="185"/>
      <c r="AF105" s="185"/>
      <c r="AG105" s="185"/>
      <c r="AH105" s="185"/>
      <c r="AI105" s="185"/>
      <c r="AJ105" s="185"/>
      <c r="AK105" s="185"/>
      <c r="AL105" s="185"/>
      <c r="AM105" s="185"/>
      <c r="AN105" s="185"/>
      <c r="AO105" s="185"/>
      <c r="AP105" s="185"/>
      <c r="AQ105" s="185"/>
      <c r="AR105" s="185"/>
      <c r="AS105" s="185"/>
      <c r="AT105" s="185"/>
      <c r="AU105" s="185"/>
      <c r="AV105" s="185"/>
      <c r="AW105" s="185"/>
      <c r="AX105" s="185"/>
      <c r="AY105" s="186"/>
    </row>
    <row r="106" spans="28:51" ht="15" customHeight="1">
      <c r="AB106" s="181"/>
      <c r="AC106" s="185"/>
      <c r="AD106" s="185"/>
      <c r="AE106" s="185"/>
      <c r="AF106" s="185"/>
      <c r="AG106" s="185"/>
      <c r="AH106" s="185"/>
      <c r="AI106" s="185"/>
      <c r="AJ106" s="185"/>
      <c r="AK106" s="185"/>
      <c r="AL106" s="185"/>
      <c r="AM106" s="185"/>
      <c r="AN106" s="185"/>
      <c r="AO106" s="185"/>
      <c r="AP106" s="185"/>
      <c r="AQ106" s="185"/>
      <c r="AR106" s="185"/>
      <c r="AS106" s="185"/>
      <c r="AT106" s="185"/>
      <c r="AU106" s="185"/>
      <c r="AV106" s="185"/>
      <c r="AW106" s="185"/>
      <c r="AX106" s="185"/>
      <c r="AY106" s="186"/>
    </row>
    <row r="107" spans="28:51">
      <c r="AB107" s="39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1"/>
    </row>
    <row r="109" spans="28:51">
      <c r="AO109" t="s">
        <v>69</v>
      </c>
    </row>
  </sheetData>
  <mergeCells count="25">
    <mergeCell ref="AE4:AQ7"/>
    <mergeCell ref="AB79:AY81"/>
    <mergeCell ref="AB93:AD93"/>
    <mergeCell ref="AB94:AY95"/>
    <mergeCell ref="AB97:AD97"/>
    <mergeCell ref="AB98:AY99"/>
    <mergeCell ref="AB101:AE101"/>
    <mergeCell ref="AB103:AY106"/>
    <mergeCell ref="AQ16:AS17"/>
    <mergeCell ref="AE18:AG19"/>
    <mergeCell ref="AI18:AK19"/>
    <mergeCell ref="AM18:AO19"/>
    <mergeCell ref="AQ18:AS19"/>
    <mergeCell ref="AB11:AD12"/>
    <mergeCell ref="AB24:AD25"/>
    <mergeCell ref="AB72:AD73"/>
    <mergeCell ref="AK8:AM8"/>
    <mergeCell ref="AE16:AG17"/>
    <mergeCell ref="AI16:AK17"/>
    <mergeCell ref="AM16:AO17"/>
    <mergeCell ref="AB85:AY86"/>
    <mergeCell ref="AB88:AD88"/>
    <mergeCell ref="AB90:AY91"/>
    <mergeCell ref="AB78:AD78"/>
    <mergeCell ref="AB83:AD83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C8DFC0CE-928F-4C00-BE71-388376B238C7}">
            <xm:f>'04_KPI_Engine'!F5&lt;0</xm:f>
            <x14:dxf>
              <font>
                <color rgb="FFFF0000"/>
              </font>
            </x14:dxf>
          </x14:cfRule>
          <x14:cfRule type="expression" priority="2" id="{ECA0D203-A50B-4D3E-B3EA-52EFF0754228}">
            <xm:f>'04_KPI_Engine'!F5&gt;0</xm:f>
            <x14:dxf>
              <font>
                <color rgb="FF00B050"/>
              </font>
            </x14:dxf>
          </x14:cfRule>
          <xm:sqref>AE18:AG19</xm:sqref>
        </x14:conditionalFormatting>
        <x14:conditionalFormatting xmlns:xm="http://schemas.microsoft.com/office/excel/2006/main">
          <x14:cfRule type="expression" priority="15" id="{C7D52831-472C-4572-9731-C6FD68C9E53F}">
            <xm:f>'04_KPI_Engine'!F5&lt;0</xm:f>
            <x14:dxf>
              <font>
                <b val="0"/>
                <i val="0"/>
                <color rgb="FFFF0000"/>
              </font>
            </x14:dxf>
          </x14:cfRule>
          <x14:cfRule type="expression" priority="16" id="{ECC10BE7-D3CB-4381-8F90-1073654DE68E}">
            <xm:f>'04_KPI_Engine'!F5&gt;0</xm:f>
            <x14:dxf>
              <font>
                <b val="0"/>
                <i val="0"/>
                <color rgb="FF00B050"/>
              </font>
            </x14:dxf>
          </x14:cfRule>
          <xm:sqref>AF20</xm:sqref>
        </x14:conditionalFormatting>
        <x14:conditionalFormatting xmlns:xm="http://schemas.microsoft.com/office/excel/2006/main">
          <x14:cfRule type="expression" priority="3" id="{F426CFE3-9730-402E-B375-B8815142B986}">
            <xm:f>'04_KPI_Engine'!F6&lt;0</xm:f>
            <x14:dxf>
              <font>
                <color rgb="FFFF0000"/>
              </font>
            </x14:dxf>
          </x14:cfRule>
          <x14:cfRule type="expression" priority="4" id="{FC29AB5F-131B-491F-BEFD-B8E50F9A6679}">
            <xm:f>'04_KPI_Engine'!F6&gt;0</xm:f>
            <x14:dxf>
              <font>
                <color rgb="FF00B050"/>
              </font>
            </x14:dxf>
          </x14:cfRule>
          <xm:sqref>AI18:AK19</xm:sqref>
        </x14:conditionalFormatting>
        <x14:conditionalFormatting xmlns:xm="http://schemas.microsoft.com/office/excel/2006/main">
          <x14:cfRule type="expression" priority="13" id="{BC0D4540-F3FD-4D19-AA06-242F8BD25571}">
            <xm:f>'04_KPI_Engine'!F6&gt;0</xm:f>
            <x14:dxf>
              <font>
                <b val="0"/>
                <i val="0"/>
                <color rgb="FF00B050"/>
              </font>
            </x14:dxf>
          </x14:cfRule>
          <x14:cfRule type="expression" priority="14" id="{F399F73D-E839-481A-BA45-B5B3ED255A88}">
            <xm:f>'04_KPI_Engine'!F5&lt;0</xm:f>
            <x14:dxf>
              <font>
                <b val="0"/>
                <i val="0"/>
                <color rgb="FFFF0000"/>
              </font>
            </x14:dxf>
          </x14:cfRule>
          <xm:sqref>AJ20</xm:sqref>
        </x14:conditionalFormatting>
        <x14:conditionalFormatting xmlns:xm="http://schemas.microsoft.com/office/excel/2006/main">
          <x14:cfRule type="expression" priority="10" id="{03144EF9-C1F9-41F1-BF73-7740447F675C}">
            <xm:f>'04_KPI_Engine'!F7&lt;0</xm:f>
            <x14:dxf>
              <font>
                <color rgb="FFFF0000"/>
              </font>
            </x14:dxf>
          </x14:cfRule>
          <x14:cfRule type="expression" priority="11" id="{5C27F8C5-2E9A-4AD6-A9C2-15304E2EB88E}">
            <xm:f>'04_KPI_Engine'!F7&gt;0</xm:f>
            <x14:dxf>
              <font>
                <color rgb="FF00B050"/>
              </font>
            </x14:dxf>
          </x14:cfRule>
          <xm:sqref>AM18:AO19</xm:sqref>
        </x14:conditionalFormatting>
        <x14:conditionalFormatting xmlns:xm="http://schemas.microsoft.com/office/excel/2006/main">
          <x14:cfRule type="expression" priority="9" id="{6830D196-F034-459F-B096-76ACFB1AEAB2}">
            <xm:f>'04_KPI_Engine'!F7&lt;0</xm:f>
            <x14:dxf>
              <font>
                <color rgb="FFFF0000"/>
              </font>
            </x14:dxf>
          </x14:cfRule>
          <x14:cfRule type="expression" priority="12" id="{1C163CB6-21A5-4C21-99A9-55480DC9A1DB}">
            <xm:f>'04_KPI_Engine'!F7&gt;0</xm:f>
            <x14:dxf>
              <font>
                <color rgb="FF00B050"/>
              </font>
            </x14:dxf>
          </x14:cfRule>
          <xm:sqref>AN20</xm:sqref>
        </x14:conditionalFormatting>
        <x14:conditionalFormatting xmlns:xm="http://schemas.microsoft.com/office/excel/2006/main">
          <x14:cfRule type="expression" priority="7" id="{73B65684-0BD6-4901-B664-46E018FD5710}">
            <xm:f>'04_KPI_Engine'!F8&lt;0</xm:f>
            <x14:dxf>
              <font>
                <color rgb="FFFF0000"/>
              </font>
            </x14:dxf>
          </x14:cfRule>
          <x14:cfRule type="expression" priority="8" id="{404A5232-DC8C-4F57-BDAF-86644E0AEC06}">
            <xm:f>'04_KPI_Engine'!F8&gt;0</xm:f>
            <x14:dxf>
              <font>
                <color rgb="FF00B050"/>
              </font>
            </x14:dxf>
          </x14:cfRule>
          <xm:sqref>AQ18:AW19</xm:sqref>
        </x14:conditionalFormatting>
        <x14:conditionalFormatting xmlns:xm="http://schemas.microsoft.com/office/excel/2006/main">
          <x14:cfRule type="expression" priority="5" id="{E7A163C4-6290-4935-9CCE-8E4A9B240EE2}">
            <xm:f>'04_KPI_Engine'!F8&lt;0</xm:f>
            <x14:dxf>
              <font>
                <color rgb="FFFF0000"/>
              </font>
            </x14:dxf>
          </x14:cfRule>
          <x14:cfRule type="expression" priority="6" id="{8AF82492-6E5D-47DC-B44B-D35E2FAB2059}">
            <xm:f>'04_KPI_Engine'!F8&gt;0</xm:f>
            <x14:dxf>
              <font>
                <color rgb="FF00B050"/>
              </font>
            </x14:dxf>
          </x14:cfRule>
          <xm:sqref>AR20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1F9CC-3C85-4E95-BA42-A0A437BAADE3}">
  <dimension ref="B2:U52"/>
  <sheetViews>
    <sheetView showGridLines="0" workbookViewId="0">
      <selection activeCell="C1" sqref="C1"/>
    </sheetView>
  </sheetViews>
  <sheetFormatPr defaultRowHeight="14.45"/>
  <sheetData>
    <row r="2" spans="2:21" ht="15" thickBot="1"/>
    <row r="3" spans="2:21" ht="15" thickTop="1">
      <c r="B3" s="82" t="s">
        <v>70</v>
      </c>
      <c r="C3" s="83"/>
      <c r="D3" s="84"/>
    </row>
    <row r="4" spans="2:21" ht="15" thickBot="1">
      <c r="B4" s="85"/>
      <c r="C4" s="86"/>
      <c r="D4" s="87"/>
    </row>
    <row r="5" spans="2:21" ht="15" thickTop="1"/>
    <row r="6" spans="2:21" ht="15" thickBot="1"/>
    <row r="7" spans="2:21" ht="15" thickTop="1">
      <c r="B7" s="154" t="s">
        <v>71</v>
      </c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6"/>
    </row>
    <row r="8" spans="2:21" ht="15" thickBot="1">
      <c r="B8" s="157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9"/>
    </row>
    <row r="9" spans="2:21" ht="15" thickTop="1"/>
    <row r="10" spans="2:21" ht="15" thickBot="1"/>
    <row r="11" spans="2:21" ht="15" thickTop="1">
      <c r="B11" s="82" t="s">
        <v>72</v>
      </c>
      <c r="C11" s="83"/>
      <c r="D11" s="84"/>
    </row>
    <row r="12" spans="2:21" ht="15" thickBot="1">
      <c r="B12" s="85"/>
      <c r="C12" s="86"/>
      <c r="D12" s="87"/>
    </row>
    <row r="13" spans="2:21" ht="15" thickTop="1"/>
    <row r="14" spans="2:21" ht="15" thickBot="1"/>
    <row r="15" spans="2:21" ht="14.45" customHeight="1" thickTop="1">
      <c r="B15" s="170" t="s">
        <v>16</v>
      </c>
      <c r="C15" s="171"/>
      <c r="D15" s="174" t="str">
        <f>"₹"&amp;ROUND('04_KPI_Engine'!D7/10000000,2)&amp; "cr" &amp;" ("&amp;IF('04_KPI_Engine'!F7&lt;0,"▼ ","▲ ")&amp;TEXT(ABS('04_KPI_Engine'!F7),"0.0%")&amp;")"</f>
        <v>₹3.31cr (▲ 124.4%)</v>
      </c>
      <c r="E15" s="175"/>
      <c r="F15" s="176"/>
    </row>
    <row r="16" spans="2:21" ht="14.45" customHeight="1" thickBot="1">
      <c r="B16" s="172"/>
      <c r="C16" s="173"/>
      <c r="D16" s="177"/>
      <c r="E16" s="178"/>
      <c r="F16" s="179"/>
    </row>
    <row r="17" spans="2:10" ht="15.6" thickTop="1" thickBot="1"/>
    <row r="18" spans="2:10" ht="15" thickTop="1">
      <c r="B18" s="144" t="s">
        <v>10</v>
      </c>
      <c r="C18" s="145"/>
      <c r="D18" s="162" t="str">
        <f>"₹"&amp;ROUND('04_KPI_Engine'!D5,0)&amp;" ("&amp;IF('04_KPI_Engine'!F5&lt;0,"▼ ","▲ ")&amp;TEXT(ABS('04_KPI_Engine'!F5),"0.0%")&amp;")"</f>
        <v>₹57 (▼ 22.4%)</v>
      </c>
      <c r="E18" s="163"/>
    </row>
    <row r="19" spans="2:10" ht="15" thickBot="1">
      <c r="B19" s="146"/>
      <c r="C19" s="147"/>
      <c r="D19" s="164"/>
      <c r="E19" s="165"/>
    </row>
    <row r="20" spans="2:10" ht="15.6" thickTop="1" thickBot="1"/>
    <row r="21" spans="2:10" ht="15" thickTop="1">
      <c r="B21" s="144" t="s">
        <v>14</v>
      </c>
      <c r="C21" s="145"/>
      <c r="D21" s="166" t="str">
        <f>"₹"&amp;ROUND('04_KPI_Engine'!D6/1000,2)&amp;"K"&amp;" ("&amp;IF('04_KPI_Engine'!F6&lt;0,"▼ ","▲ ")&amp;TEXT(ABS('04_KPI_Engine'!F6),"0.0%")&amp;")"</f>
        <v>₹3.87K (▼ 29.6%)</v>
      </c>
      <c r="E21" s="167"/>
    </row>
    <row r="22" spans="2:10" ht="18.600000000000001" thickBot="1">
      <c r="B22" s="146"/>
      <c r="C22" s="147"/>
      <c r="D22" s="168"/>
      <c r="E22" s="169"/>
      <c r="J22" s="50"/>
    </row>
    <row r="23" spans="2:10" ht="15.6" thickTop="1" thickBot="1"/>
    <row r="24" spans="2:10" ht="15" thickTop="1">
      <c r="B24" s="144" t="s">
        <v>73</v>
      </c>
      <c r="C24" s="160"/>
      <c r="D24" s="145"/>
      <c r="E24" s="162" t="str">
        <f>ROUND('04_KPI_Engine'!D8,2)&amp;" ("&amp;IF('04_KPI_Engine'!F8&lt;0,"▼ ","▲ ")&amp;TEXT(ABS('04_KPI_Engine'!F8),"0.0%")&amp;")"</f>
        <v>0.41 (▼ 4.9%)</v>
      </c>
      <c r="F24" s="163"/>
    </row>
    <row r="25" spans="2:10" ht="15" thickBot="1">
      <c r="B25" s="146"/>
      <c r="C25" s="161"/>
      <c r="D25" s="147"/>
      <c r="E25" s="164"/>
      <c r="F25" s="165"/>
    </row>
    <row r="26" spans="2:10" ht="15" thickTop="1"/>
    <row r="27" spans="2:10" ht="15" thickBot="1"/>
    <row r="28" spans="2:10" ht="15" thickTop="1">
      <c r="B28" s="82" t="s">
        <v>74</v>
      </c>
      <c r="C28" s="83"/>
      <c r="D28" s="84"/>
    </row>
    <row r="29" spans="2:10" ht="15" thickBot="1">
      <c r="B29" s="85"/>
      <c r="C29" s="86"/>
      <c r="D29" s="87"/>
    </row>
    <row r="30" spans="2:10" ht="15" thickTop="1"/>
    <row r="31" spans="2:10" ht="15" thickBot="1"/>
    <row r="32" spans="2:10" ht="15" thickTop="1">
      <c r="B32" s="148" t="s">
        <v>75</v>
      </c>
      <c r="C32" s="149"/>
      <c r="D32" s="149"/>
      <c r="E32" s="149"/>
      <c r="F32" s="149"/>
      <c r="G32" s="149"/>
      <c r="H32" s="149"/>
      <c r="I32" s="150"/>
    </row>
    <row r="33" spans="2:9">
      <c r="B33" s="151"/>
      <c r="C33" s="152"/>
      <c r="D33" s="152"/>
      <c r="E33" s="152"/>
      <c r="F33" s="152"/>
      <c r="G33" s="152"/>
      <c r="H33" s="152"/>
      <c r="I33" s="153"/>
    </row>
    <row r="34" spans="2:9">
      <c r="B34" s="151" t="s">
        <v>76</v>
      </c>
      <c r="C34" s="152"/>
      <c r="D34" s="152"/>
      <c r="E34" s="152"/>
      <c r="F34" s="152"/>
      <c r="G34" s="152"/>
      <c r="H34" s="51"/>
      <c r="I34" s="52"/>
    </row>
    <row r="35" spans="2:9">
      <c r="B35" s="151"/>
      <c r="C35" s="152"/>
      <c r="D35" s="152"/>
      <c r="E35" s="152"/>
      <c r="F35" s="152"/>
      <c r="G35" s="152"/>
      <c r="H35" s="51"/>
      <c r="I35" s="52"/>
    </row>
    <row r="36" spans="2:9">
      <c r="B36" s="151" t="s">
        <v>77</v>
      </c>
      <c r="C36" s="152"/>
      <c r="D36" s="152"/>
      <c r="E36" s="152"/>
      <c r="F36" s="152"/>
      <c r="G36" s="152"/>
      <c r="H36" s="51"/>
      <c r="I36" s="52"/>
    </row>
    <row r="37" spans="2:9">
      <c r="B37" s="151"/>
      <c r="C37" s="152"/>
      <c r="D37" s="152"/>
      <c r="E37" s="152"/>
      <c r="F37" s="152"/>
      <c r="G37" s="152"/>
      <c r="H37" s="51"/>
      <c r="I37" s="52"/>
    </row>
    <row r="38" spans="2:9" ht="15" thickBot="1">
      <c r="B38" s="49"/>
      <c r="C38" s="18"/>
      <c r="D38" s="18"/>
      <c r="E38" s="18"/>
      <c r="F38" s="18"/>
      <c r="G38" s="18"/>
      <c r="H38" s="18"/>
      <c r="I38" s="20"/>
    </row>
    <row r="39" spans="2:9" ht="15" thickTop="1"/>
    <row r="40" spans="2:9" ht="15" thickBot="1"/>
    <row r="41" spans="2:9" ht="15" customHeight="1" thickTop="1">
      <c r="B41" s="82" t="s">
        <v>78</v>
      </c>
      <c r="C41" s="83"/>
      <c r="D41" s="83"/>
      <c r="E41" s="83"/>
      <c r="F41" s="83"/>
      <c r="G41" s="84"/>
    </row>
    <row r="42" spans="2:9" ht="15" customHeight="1" thickBot="1">
      <c r="B42" s="85"/>
      <c r="C42" s="86"/>
      <c r="D42" s="86"/>
      <c r="E42" s="86"/>
      <c r="F42" s="86"/>
      <c r="G42" s="87"/>
    </row>
    <row r="43" spans="2:9" ht="15" thickTop="1"/>
    <row r="44" spans="2:9" ht="15" thickBot="1"/>
    <row r="45" spans="2:9" ht="15.6" customHeight="1" thickTop="1">
      <c r="B45" s="148" t="s">
        <v>79</v>
      </c>
      <c r="C45" s="149"/>
      <c r="D45" s="149"/>
      <c r="E45" s="149"/>
      <c r="F45" s="149"/>
      <c r="G45" s="149"/>
      <c r="H45" s="149"/>
      <c r="I45" s="150"/>
    </row>
    <row r="46" spans="2:9" ht="14.45" customHeight="1">
      <c r="B46" s="151"/>
      <c r="C46" s="152"/>
      <c r="D46" s="152"/>
      <c r="E46" s="152"/>
      <c r="F46" s="152"/>
      <c r="G46" s="152"/>
      <c r="H46" s="152"/>
      <c r="I46" s="153"/>
    </row>
    <row r="47" spans="2:9">
      <c r="B47" s="151" t="s">
        <v>80</v>
      </c>
      <c r="C47" s="152"/>
      <c r="D47" s="152"/>
      <c r="E47" s="152"/>
      <c r="F47" s="152"/>
      <c r="G47" s="152"/>
      <c r="H47" s="152"/>
      <c r="I47" s="153"/>
    </row>
    <row r="48" spans="2:9">
      <c r="B48" s="151"/>
      <c r="C48" s="152"/>
      <c r="D48" s="152"/>
      <c r="E48" s="152"/>
      <c r="F48" s="152"/>
      <c r="G48" s="152"/>
      <c r="H48" s="152"/>
      <c r="I48" s="153"/>
    </row>
    <row r="49" spans="2:9">
      <c r="B49" s="151" t="s">
        <v>81</v>
      </c>
      <c r="C49" s="152"/>
      <c r="D49" s="152"/>
      <c r="E49" s="152"/>
      <c r="F49" s="152"/>
      <c r="G49" s="152"/>
      <c r="H49" s="152"/>
      <c r="I49" s="153"/>
    </row>
    <row r="50" spans="2:9">
      <c r="B50" s="151"/>
      <c r="C50" s="152"/>
      <c r="D50" s="152"/>
      <c r="E50" s="152"/>
      <c r="F50" s="152"/>
      <c r="G50" s="152"/>
      <c r="H50" s="152"/>
      <c r="I50" s="153"/>
    </row>
    <row r="51" spans="2:9" ht="15" thickBot="1">
      <c r="B51" s="49"/>
      <c r="C51" s="18"/>
      <c r="D51" s="18"/>
      <c r="E51" s="18"/>
      <c r="F51" s="18"/>
      <c r="G51" s="18"/>
      <c r="H51" s="18"/>
      <c r="I51" s="20"/>
    </row>
    <row r="52" spans="2:9" ht="15" thickTop="1"/>
  </sheetData>
  <mergeCells count="19">
    <mergeCell ref="B11:D12"/>
    <mergeCell ref="B15:C16"/>
    <mergeCell ref="D15:F16"/>
    <mergeCell ref="B18:C19"/>
    <mergeCell ref="B45:I46"/>
    <mergeCell ref="B47:I48"/>
    <mergeCell ref="B49:I50"/>
    <mergeCell ref="B3:D4"/>
    <mergeCell ref="B7:U8"/>
    <mergeCell ref="B32:I33"/>
    <mergeCell ref="B34:G35"/>
    <mergeCell ref="B36:G37"/>
    <mergeCell ref="B41:G42"/>
    <mergeCell ref="B21:C22"/>
    <mergeCell ref="B24:D25"/>
    <mergeCell ref="D18:E19"/>
    <mergeCell ref="D21:E22"/>
    <mergeCell ref="E24:F25"/>
    <mergeCell ref="B28:D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Vedant Koram</dc:creator>
  <cp:keywords/>
  <dc:description/>
  <cp:lastModifiedBy/>
  <cp:revision/>
  <dcterms:created xsi:type="dcterms:W3CDTF">2025-10-13T08:54:20Z</dcterms:created>
  <dcterms:modified xsi:type="dcterms:W3CDTF">2026-04-09T09:28:21Z</dcterms:modified>
  <cp:category/>
  <cp:contentStatus/>
</cp:coreProperties>
</file>